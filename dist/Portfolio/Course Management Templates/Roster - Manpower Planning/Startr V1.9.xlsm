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Z_Marvin's Folder\Ab-Initio Files\Roster\"/>
    </mc:Choice>
  </mc:AlternateContent>
  <bookViews>
    <workbookView xWindow="0" yWindow="0" windowWidth="20820" windowHeight="7845" firstSheet="1" activeTab="1"/>
  </bookViews>
  <sheets>
    <sheet name="Creatr" sheetId="23" state="hidden" r:id="rId1"/>
    <sheet name="Open Workbook" sheetId="1" r:id="rId2"/>
    <sheet name="Abinitio Creatr" sheetId="24" state="hidden" r:id="rId3"/>
  </sheets>
  <definedNames>
    <definedName name="_xlnm._FilterDatabase" localSheetId="0" hidden="1">Creatr!$A$1:$A$1</definedName>
    <definedName name="c_Date">Creatr!$AZ$2:$AZ$108</definedName>
    <definedName name="FTT">Creatr!$A$2:$A$108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E3" i="23" l="1" a="1"/>
  <c r="BE3" i="23" s="1"/>
  <c r="BE4" i="23" a="1"/>
  <c r="BE4" i="23" s="1"/>
  <c r="BE5" i="23" a="1"/>
  <c r="BE5" i="23" s="1"/>
  <c r="BE6" i="23" a="1"/>
  <c r="BE6" i="23" s="1"/>
  <c r="BE7" i="23" a="1"/>
  <c r="BE7" i="23" s="1"/>
  <c r="BE8" i="23" a="1"/>
  <c r="BE8" i="23" s="1"/>
  <c r="BE9" i="23" a="1"/>
  <c r="BE9" i="23" s="1"/>
  <c r="BE10" i="23" a="1"/>
  <c r="BE10" i="23" s="1"/>
  <c r="BE11" i="23" a="1"/>
  <c r="BE11" i="23" s="1"/>
  <c r="BE12" i="23" a="1"/>
  <c r="BE12" i="23" s="1"/>
  <c r="BE13" i="23" a="1"/>
  <c r="BE13" i="23" s="1"/>
  <c r="BE14" i="23" a="1"/>
  <c r="BE14" i="23" s="1"/>
  <c r="BE15" i="23" a="1"/>
  <c r="BE15" i="23" s="1"/>
  <c r="BE16" i="23" a="1"/>
  <c r="BE16" i="23" s="1"/>
  <c r="BE17" i="23" a="1"/>
  <c r="BE17" i="23" s="1"/>
  <c r="BE18" i="23" a="1"/>
  <c r="BE18" i="23" s="1"/>
  <c r="BE19" i="23" a="1"/>
  <c r="BE19" i="23" s="1"/>
  <c r="BE20" i="23" a="1"/>
  <c r="BE20" i="23" s="1"/>
  <c r="BE21" i="23" a="1"/>
  <c r="BE21" i="23" s="1"/>
  <c r="BE22" i="23" a="1"/>
  <c r="BE22" i="23" s="1"/>
  <c r="BE23" i="23" a="1"/>
  <c r="BE23" i="23" s="1"/>
  <c r="BE24" i="23" a="1"/>
  <c r="BE24" i="23" s="1"/>
  <c r="BE25" i="23" a="1"/>
  <c r="BE25" i="23" s="1"/>
  <c r="BE26" i="23" a="1"/>
  <c r="BE26" i="23" s="1"/>
  <c r="BE27" i="23" a="1"/>
  <c r="BE27" i="23" s="1"/>
  <c r="BE28" i="23" a="1"/>
  <c r="BE28" i="23" s="1"/>
  <c r="BE29" i="23" a="1"/>
  <c r="BE29" i="23" s="1"/>
  <c r="BE30" i="23" a="1"/>
  <c r="BE30" i="23" s="1"/>
  <c r="BE31" i="23" a="1"/>
  <c r="BE31" i="23" s="1"/>
  <c r="BE32" i="23" a="1"/>
  <c r="BE32" i="23" s="1"/>
  <c r="BE33" i="23" a="1"/>
  <c r="BE33" i="23" s="1"/>
  <c r="BE34" i="23" a="1"/>
  <c r="BE34" i="23" s="1"/>
  <c r="BE35" i="23" a="1"/>
  <c r="BE35" i="23" s="1"/>
  <c r="BE36" i="23" a="1"/>
  <c r="BE36" i="23" s="1"/>
  <c r="BE37" i="23" a="1"/>
  <c r="BE37" i="23" s="1"/>
  <c r="BE38" i="23" a="1"/>
  <c r="BE38" i="23" s="1"/>
  <c r="BE39" i="23" a="1"/>
  <c r="BE39" i="23" s="1"/>
  <c r="BE40" i="23" a="1"/>
  <c r="BE40" i="23" s="1"/>
  <c r="BE41" i="23" a="1"/>
  <c r="BE41" i="23" s="1"/>
  <c r="BE42" i="23" a="1"/>
  <c r="BE42" i="23" s="1"/>
  <c r="BE43" i="23" a="1"/>
  <c r="BE43" i="23" s="1"/>
  <c r="BE44" i="23" a="1"/>
  <c r="BE44" i="23" s="1"/>
  <c r="BE45" i="23" a="1"/>
  <c r="BE45" i="23" s="1"/>
  <c r="BE46" i="23" a="1"/>
  <c r="BE46" i="23" s="1"/>
  <c r="BE47" i="23" a="1"/>
  <c r="BE47" i="23" s="1"/>
  <c r="BE48" i="23" a="1"/>
  <c r="BE48" i="23" s="1"/>
  <c r="BE49" i="23" a="1"/>
  <c r="BE49" i="23" s="1"/>
  <c r="BE50" i="23" a="1"/>
  <c r="BE50" i="23" s="1"/>
  <c r="BE51" i="23" a="1"/>
  <c r="BE51" i="23" s="1"/>
  <c r="BE52" i="23" a="1"/>
  <c r="BE52" i="23" s="1"/>
  <c r="BE53" i="23" a="1"/>
  <c r="BE53" i="23" s="1"/>
  <c r="BE54" i="23" a="1"/>
  <c r="BE54" i="23" s="1"/>
  <c r="BE55" i="23" a="1"/>
  <c r="BE55" i="23" s="1"/>
  <c r="BE56" i="23" a="1"/>
  <c r="BE56" i="23" s="1"/>
  <c r="BE57" i="23" a="1"/>
  <c r="BE57" i="23" s="1"/>
  <c r="BE58" i="23" a="1"/>
  <c r="BE58" i="23" s="1"/>
  <c r="BE59" i="23" a="1"/>
  <c r="BE59" i="23" s="1"/>
  <c r="BE60" i="23" a="1"/>
  <c r="BE60" i="23" s="1"/>
  <c r="BE61" i="23" a="1"/>
  <c r="BE61" i="23" s="1"/>
  <c r="BE62" i="23" a="1"/>
  <c r="BE62" i="23" s="1"/>
  <c r="BE63" i="23" a="1"/>
  <c r="BE63" i="23" s="1"/>
  <c r="BE64" i="23" a="1"/>
  <c r="BE64" i="23" s="1"/>
  <c r="BE65" i="23" a="1"/>
  <c r="BE65" i="23" s="1"/>
  <c r="BE66" i="23" a="1"/>
  <c r="BE66" i="23" s="1"/>
  <c r="BE67" i="23" a="1"/>
  <c r="BE67" i="23" s="1"/>
  <c r="BE68" i="23" a="1"/>
  <c r="BE68" i="23" s="1"/>
  <c r="BE69" i="23" a="1"/>
  <c r="BE69" i="23" s="1"/>
  <c r="BE70" i="23" a="1"/>
  <c r="BE70" i="23" s="1"/>
  <c r="BE71" i="23" a="1"/>
  <c r="BE71" i="23" s="1"/>
  <c r="BE72" i="23" a="1"/>
  <c r="BE72" i="23" s="1"/>
  <c r="BE73" i="23" a="1"/>
  <c r="BE73" i="23" s="1"/>
  <c r="BE74" i="23" a="1"/>
  <c r="BE74" i="23" s="1"/>
  <c r="BE75" i="23" a="1"/>
  <c r="BE75" i="23" s="1"/>
  <c r="BE76" i="23" a="1"/>
  <c r="BE76" i="23" s="1"/>
  <c r="BE77" i="23" a="1"/>
  <c r="BE77" i="23" s="1"/>
  <c r="BE78" i="23" a="1"/>
  <c r="BE78" i="23" s="1"/>
  <c r="BE79" i="23" a="1"/>
  <c r="BE79" i="23" s="1"/>
  <c r="BE80" i="23" a="1"/>
  <c r="BE80" i="23" s="1"/>
  <c r="BE81" i="23" a="1"/>
  <c r="BE81" i="23" s="1"/>
  <c r="BE82" i="23" a="1"/>
  <c r="BE82" i="23" s="1"/>
  <c r="BE83" i="23" a="1"/>
  <c r="BE83" i="23" s="1"/>
  <c r="BE84" i="23" a="1"/>
  <c r="BE84" i="23" s="1"/>
  <c r="BE85" i="23" a="1"/>
  <c r="BE85" i="23" s="1"/>
  <c r="BE86" i="23" a="1"/>
  <c r="BE86" i="23" s="1"/>
  <c r="BE87" i="23" a="1"/>
  <c r="BE87" i="23" s="1"/>
  <c r="BE88" i="23" a="1"/>
  <c r="BE88" i="23" s="1"/>
  <c r="BE89" i="23" a="1"/>
  <c r="BE89" i="23" s="1"/>
  <c r="BE90" i="23" a="1"/>
  <c r="BE90" i="23" s="1"/>
  <c r="BE91" i="23" a="1"/>
  <c r="BE91" i="23" s="1"/>
  <c r="BE92" i="23" a="1"/>
  <c r="BE92" i="23" s="1"/>
  <c r="BE93" i="23" a="1"/>
  <c r="BE93" i="23" s="1"/>
  <c r="BE94" i="23" a="1"/>
  <c r="BE94" i="23" s="1"/>
  <c r="BE95" i="23" a="1"/>
  <c r="BE95" i="23" s="1"/>
  <c r="BE96" i="23" a="1"/>
  <c r="BE96" i="23" s="1"/>
  <c r="BE97" i="23" a="1"/>
  <c r="BE97" i="23" s="1"/>
  <c r="BE98" i="23" a="1"/>
  <c r="BE98" i="23" s="1"/>
  <c r="BE99" i="23" a="1"/>
  <c r="BE99" i="23" s="1"/>
  <c r="BE100" i="23" a="1"/>
  <c r="BE100" i="23" s="1"/>
  <c r="BE101" i="23" a="1"/>
  <c r="BE101" i="23" s="1"/>
  <c r="BE102" i="23" a="1"/>
  <c r="BE102" i="23" s="1"/>
  <c r="BE103" i="23" a="1"/>
  <c r="BE103" i="23" s="1"/>
  <c r="BE104" i="23" a="1"/>
  <c r="BE104" i="23" s="1"/>
  <c r="BE105" i="23" a="1"/>
  <c r="BE105" i="23" s="1"/>
  <c r="BE106" i="23" a="1"/>
  <c r="BE106" i="23" s="1"/>
  <c r="BE107" i="23" a="1"/>
  <c r="BE107" i="23" s="1"/>
  <c r="BE108" i="23" a="1"/>
  <c r="BE108" i="23" s="1"/>
  <c r="BE109" i="23" a="1"/>
  <c r="BE109" i="23" s="1"/>
  <c r="BE110" i="23" a="1"/>
  <c r="BE110" i="23" s="1"/>
  <c r="BE111" i="23" a="1"/>
  <c r="BE111" i="23" s="1"/>
  <c r="BE112" i="23" a="1"/>
  <c r="BE112" i="23" s="1"/>
  <c r="BE113" i="23" a="1"/>
  <c r="BE113" i="23" s="1"/>
  <c r="BE114" i="23" a="1"/>
  <c r="BE114" i="23" s="1"/>
  <c r="BE115" i="23" a="1"/>
  <c r="BE115" i="23" s="1"/>
  <c r="BE116" i="23" a="1"/>
  <c r="BE116" i="23" s="1"/>
  <c r="BE117" i="23" a="1"/>
  <c r="BE117" i="23" s="1"/>
  <c r="BE118" i="23" a="1"/>
  <c r="BE118" i="23" s="1"/>
  <c r="BE119" i="23" a="1"/>
  <c r="BE119" i="23" s="1"/>
  <c r="BE120" i="23" a="1"/>
  <c r="BE120" i="23" s="1"/>
  <c r="BE121" i="23" a="1"/>
  <c r="BE121" i="23" s="1"/>
  <c r="BE122" i="23" a="1"/>
  <c r="BE122" i="23" s="1"/>
  <c r="BE123" i="23" a="1"/>
  <c r="BE123" i="23" s="1"/>
  <c r="BE124" i="23" a="1"/>
  <c r="BE124" i="23" s="1"/>
  <c r="BE125" i="23" a="1"/>
  <c r="BE125" i="23" s="1"/>
  <c r="BE126" i="23" a="1"/>
  <c r="BE126" i="23" s="1"/>
  <c r="BE127" i="23" a="1"/>
  <c r="BE127" i="23" s="1"/>
  <c r="BE128" i="23" a="1"/>
  <c r="BE128" i="23" s="1"/>
  <c r="BE129" i="23" a="1"/>
  <c r="BE129" i="23" s="1"/>
  <c r="BE130" i="23" a="1"/>
  <c r="BE130" i="23" s="1"/>
  <c r="BE131" i="23" a="1"/>
  <c r="BE131" i="23" s="1"/>
  <c r="BE132" i="23" a="1"/>
  <c r="BE132" i="23" s="1"/>
  <c r="BE133" i="23" a="1"/>
  <c r="BE133" i="23" s="1"/>
  <c r="BE134" i="23" a="1"/>
  <c r="BE134" i="23" s="1"/>
  <c r="BE135" i="23" a="1"/>
  <c r="BE135" i="23" s="1"/>
  <c r="BE136" i="23" a="1"/>
  <c r="BE136" i="23" s="1"/>
  <c r="BE137" i="23" a="1"/>
  <c r="BE137" i="23" s="1"/>
  <c r="BE138" i="23" a="1"/>
  <c r="BE138" i="23" s="1"/>
  <c r="BE139" i="23" a="1"/>
  <c r="BE139" i="23" s="1"/>
  <c r="BE140" i="23" a="1"/>
  <c r="BE140" i="23" s="1"/>
  <c r="BE141" i="23" a="1"/>
  <c r="BE141" i="23" s="1"/>
  <c r="BE142" i="23" a="1"/>
  <c r="BE142" i="23" s="1"/>
  <c r="BE143" i="23" a="1"/>
  <c r="BE143" i="23" s="1"/>
  <c r="BE144" i="23" a="1"/>
  <c r="BE144" i="23" s="1"/>
  <c r="BE145" i="23" a="1"/>
  <c r="BE145" i="23" s="1"/>
  <c r="BE146" i="23" a="1"/>
  <c r="BE146" i="23" s="1"/>
  <c r="BE147" i="23" a="1"/>
  <c r="BE147" i="23" s="1"/>
  <c r="BE148" i="23" a="1"/>
  <c r="BE148" i="23" s="1"/>
  <c r="BE149" i="23" a="1"/>
  <c r="BE149" i="23" s="1"/>
  <c r="BE150" i="23" a="1"/>
  <c r="BE150" i="23" s="1"/>
  <c r="BE151" i="23" a="1"/>
  <c r="BE151" i="23" s="1"/>
  <c r="BE152" i="23" a="1"/>
  <c r="BE152" i="23" s="1"/>
  <c r="BE153" i="23" a="1"/>
  <c r="BE153" i="23" s="1"/>
  <c r="BE154" i="23" a="1"/>
  <c r="BE154" i="23" s="1"/>
  <c r="BE155" i="23" a="1"/>
  <c r="BE155" i="23" s="1"/>
  <c r="BE156" i="23" a="1"/>
  <c r="BE156" i="23" s="1"/>
  <c r="BE157" i="23" a="1"/>
  <c r="BE157" i="23" s="1"/>
  <c r="BE158" i="23" a="1"/>
  <c r="BE158" i="23" s="1"/>
  <c r="BE159" i="23" a="1"/>
  <c r="BE159" i="23" s="1"/>
  <c r="BE160" i="23" a="1"/>
  <c r="BE160" i="23" s="1"/>
  <c r="BE161" i="23" a="1"/>
  <c r="BE161" i="23" s="1"/>
  <c r="BE162" i="23" a="1"/>
  <c r="BE162" i="23" s="1"/>
  <c r="BE163" i="23" a="1"/>
  <c r="BE163" i="23" s="1"/>
  <c r="BE164" i="23" a="1"/>
  <c r="BE164" i="23" s="1"/>
  <c r="BE165" i="23" a="1"/>
  <c r="BE165" i="23" s="1"/>
  <c r="BE166" i="23" a="1"/>
  <c r="BE166" i="23" s="1"/>
  <c r="BE167" i="23" a="1"/>
  <c r="BE167" i="23" s="1"/>
  <c r="BE168" i="23" a="1"/>
  <c r="BE168" i="23" s="1"/>
  <c r="BE169" i="23" a="1"/>
  <c r="BE169" i="23" s="1"/>
  <c r="BE170" i="23" a="1"/>
  <c r="BE170" i="23" s="1"/>
  <c r="BE171" i="23" a="1"/>
  <c r="BE171" i="23" s="1"/>
  <c r="BE172" i="23" a="1"/>
  <c r="BE172" i="23" s="1"/>
  <c r="BE173" i="23" a="1"/>
  <c r="BE173" i="23" s="1"/>
  <c r="BE174" i="23" a="1"/>
  <c r="BE174" i="23" s="1"/>
  <c r="BE175" i="23" a="1"/>
  <c r="BE175" i="23" s="1"/>
  <c r="BE176" i="23" a="1"/>
  <c r="BE176" i="23" s="1"/>
  <c r="BE177" i="23" a="1"/>
  <c r="BE177" i="23" s="1"/>
  <c r="BE178" i="23" a="1"/>
  <c r="BE178" i="23" s="1"/>
  <c r="BE179" i="23" a="1"/>
  <c r="BE179" i="23" s="1"/>
  <c r="BE180" i="23" a="1"/>
  <c r="BE180" i="23" s="1"/>
  <c r="BE181" i="23" a="1"/>
  <c r="BE181" i="23" s="1"/>
  <c r="BE182" i="23" a="1"/>
  <c r="BE182" i="23" s="1"/>
  <c r="BE183" i="23" a="1"/>
  <c r="BE183" i="23" s="1"/>
  <c r="BE184" i="23" a="1"/>
  <c r="BE184" i="23" s="1"/>
  <c r="BE185" i="23" a="1"/>
  <c r="BE185" i="23" s="1"/>
  <c r="BE186" i="23" a="1"/>
  <c r="BE186" i="23" s="1"/>
  <c r="BE187" i="23" a="1"/>
  <c r="BE187" i="23" s="1"/>
  <c r="BE188" i="23" a="1"/>
  <c r="BE188" i="23" s="1"/>
  <c r="BE189" i="23" a="1"/>
  <c r="BE189" i="23" s="1"/>
  <c r="BE190" i="23" a="1"/>
  <c r="BE190" i="23" s="1"/>
  <c r="BE191" i="23" a="1"/>
  <c r="BE191" i="23" s="1"/>
  <c r="BE192" i="23" a="1"/>
  <c r="BE192" i="23" s="1"/>
  <c r="BE193" i="23" a="1"/>
  <c r="BE193" i="23" s="1"/>
  <c r="BE194" i="23" a="1"/>
  <c r="BE194" i="23" s="1"/>
  <c r="BE195" i="23" a="1"/>
  <c r="BE195" i="23" s="1"/>
  <c r="BE196" i="23" a="1"/>
  <c r="BE196" i="23" s="1"/>
  <c r="BE197" i="23" a="1"/>
  <c r="BE197" i="23" s="1"/>
  <c r="BE198" i="23" a="1"/>
  <c r="BE198" i="23" s="1"/>
  <c r="BE199" i="23" a="1"/>
  <c r="BE199" i="23" s="1"/>
  <c r="BE200" i="23" a="1"/>
  <c r="BE200" i="23" s="1"/>
  <c r="BE2" i="23" a="1"/>
  <c r="BE2" i="23" s="1"/>
  <c r="AE23" i="24" l="1"/>
  <c r="AD23" i="24"/>
  <c r="AC23" i="24"/>
  <c r="AB23" i="24"/>
  <c r="AE22" i="24"/>
  <c r="AD22" i="24"/>
  <c r="AC22" i="24"/>
  <c r="AB22" i="24"/>
  <c r="AE21" i="24"/>
  <c r="AD21" i="24"/>
  <c r="AC21" i="24"/>
  <c r="AB21" i="24"/>
  <c r="AE20" i="24"/>
  <c r="AD20" i="24"/>
  <c r="AC20" i="24"/>
  <c r="AB20" i="24"/>
  <c r="AE19" i="24"/>
  <c r="AD19" i="24"/>
  <c r="AC19" i="24"/>
  <c r="AB19" i="24"/>
  <c r="AE24" i="24" s="1"/>
  <c r="AE18" i="24"/>
  <c r="X23" i="24"/>
  <c r="W23" i="24"/>
  <c r="V23" i="24"/>
  <c r="U23" i="24" s="1"/>
  <c r="X22" i="24"/>
  <c r="W22" i="24"/>
  <c r="V22" i="24"/>
  <c r="U22" i="24" s="1"/>
  <c r="X21" i="24"/>
  <c r="W21" i="24"/>
  <c r="V21" i="24"/>
  <c r="U21" i="24" s="1"/>
  <c r="X20" i="24"/>
  <c r="W20" i="24"/>
  <c r="V20" i="24"/>
  <c r="U20" i="24" s="1"/>
  <c r="X19" i="24"/>
  <c r="W19" i="24"/>
  <c r="V19" i="24"/>
  <c r="U19" i="24" s="1"/>
  <c r="X24" i="24" s="1"/>
  <c r="X18" i="24"/>
  <c r="AC24" i="24" l="1"/>
  <c r="AD24" i="24"/>
  <c r="V24" i="24"/>
  <c r="W24" i="24"/>
  <c r="BC3" i="23" l="1" a="1"/>
  <c r="BC3" i="23" s="1"/>
  <c r="BD3" i="23" a="1"/>
  <c r="BD3" i="23" s="1"/>
  <c r="BC4" i="23" a="1"/>
  <c r="BC4" i="23" s="1"/>
  <c r="BD4" i="23" a="1"/>
  <c r="BD4" i="23" s="1"/>
  <c r="BC5" i="23" a="1"/>
  <c r="BC5" i="23" s="1"/>
  <c r="BD5" i="23" a="1"/>
  <c r="BD5" i="23" s="1"/>
  <c r="BC6" i="23" a="1"/>
  <c r="BC6" i="23" s="1"/>
  <c r="BD6" i="23" a="1"/>
  <c r="BD6" i="23" s="1"/>
  <c r="BC7" i="23" a="1"/>
  <c r="BC7" i="23" s="1"/>
  <c r="BD7" i="23" a="1"/>
  <c r="BD7" i="23" s="1"/>
  <c r="BC8" i="23" a="1"/>
  <c r="BC8" i="23" s="1"/>
  <c r="BD8" i="23" a="1"/>
  <c r="BD8" i="23" s="1"/>
  <c r="BC9" i="23" a="1"/>
  <c r="BC9" i="23" s="1"/>
  <c r="BD9" i="23" a="1"/>
  <c r="BD9" i="23" s="1"/>
  <c r="BC10" i="23" a="1"/>
  <c r="BC10" i="23" s="1"/>
  <c r="BD10" i="23" a="1"/>
  <c r="BD10" i="23" s="1"/>
  <c r="BC11" i="23" a="1"/>
  <c r="BC11" i="23" s="1"/>
  <c r="BD11" i="23" a="1"/>
  <c r="BD11" i="23" s="1"/>
  <c r="BC12" i="23" a="1"/>
  <c r="BC12" i="23" s="1"/>
  <c r="BD12" i="23" a="1"/>
  <c r="BD12" i="23" s="1"/>
  <c r="BC13" i="23" a="1"/>
  <c r="BC13" i="23" s="1"/>
  <c r="BD13" i="23" a="1"/>
  <c r="BD13" i="23" s="1"/>
  <c r="BC14" i="23" a="1"/>
  <c r="BC14" i="23" s="1"/>
  <c r="BD14" i="23" a="1"/>
  <c r="BD14" i="23" s="1"/>
  <c r="BC15" i="23" a="1"/>
  <c r="BC15" i="23" s="1"/>
  <c r="BD15" i="23" a="1"/>
  <c r="BD15" i="23" s="1"/>
  <c r="BC16" i="23" a="1"/>
  <c r="BC16" i="23" s="1"/>
  <c r="BD16" i="23" a="1"/>
  <c r="BD16" i="23" s="1"/>
  <c r="BC17" i="23" a="1"/>
  <c r="BC17" i="23" s="1"/>
  <c r="BD17" i="23" a="1"/>
  <c r="BD17" i="23" s="1"/>
  <c r="BC18" i="23" a="1"/>
  <c r="BC18" i="23" s="1"/>
  <c r="BD18" i="23" a="1"/>
  <c r="BD18" i="23" s="1"/>
  <c r="BC19" i="23" a="1"/>
  <c r="BC19" i="23" s="1"/>
  <c r="BD19" i="23" a="1"/>
  <c r="BD19" i="23" s="1"/>
  <c r="BC20" i="23" a="1"/>
  <c r="BC20" i="23" s="1"/>
  <c r="BD20" i="23" a="1"/>
  <c r="BD20" i="23" s="1"/>
  <c r="BC21" i="23" a="1"/>
  <c r="BC21" i="23" s="1"/>
  <c r="BD21" i="23" a="1"/>
  <c r="BD21" i="23" s="1"/>
  <c r="BC22" i="23" a="1"/>
  <c r="BC22" i="23" s="1"/>
  <c r="BD22" i="23" a="1"/>
  <c r="BD22" i="23" s="1"/>
  <c r="BC23" i="23" a="1"/>
  <c r="BC23" i="23" s="1"/>
  <c r="BD23" i="23" a="1"/>
  <c r="BD23" i="23" s="1"/>
  <c r="BC24" i="23" a="1"/>
  <c r="BC24" i="23" s="1"/>
  <c r="BD24" i="23" a="1"/>
  <c r="BD24" i="23" s="1"/>
  <c r="BC25" i="23" a="1"/>
  <c r="BC25" i="23" s="1"/>
  <c r="BD25" i="23" a="1"/>
  <c r="BD25" i="23" s="1"/>
  <c r="BC26" i="23" a="1"/>
  <c r="BC26" i="23" s="1"/>
  <c r="BD26" i="23" a="1"/>
  <c r="BD26" i="23" s="1"/>
  <c r="BC27" i="23" a="1"/>
  <c r="BC27" i="23" s="1"/>
  <c r="BD27" i="23" a="1"/>
  <c r="BD27" i="23" s="1"/>
  <c r="BC28" i="23" a="1"/>
  <c r="BC28" i="23" s="1"/>
  <c r="BD28" i="23" a="1"/>
  <c r="BD28" i="23" s="1"/>
  <c r="BC29" i="23" a="1"/>
  <c r="BC29" i="23" s="1"/>
  <c r="BD29" i="23" a="1"/>
  <c r="BD29" i="23" s="1"/>
  <c r="BC30" i="23" a="1"/>
  <c r="BC30" i="23" s="1"/>
  <c r="BD30" i="23" a="1"/>
  <c r="BD30" i="23" s="1"/>
  <c r="BC31" i="23" a="1"/>
  <c r="BC31" i="23" s="1"/>
  <c r="BD31" i="23" a="1"/>
  <c r="BD31" i="23" s="1"/>
  <c r="BC32" i="23" a="1"/>
  <c r="BC32" i="23" s="1"/>
  <c r="BD32" i="23" a="1"/>
  <c r="BD32" i="23" s="1"/>
  <c r="BC33" i="23" a="1"/>
  <c r="BC33" i="23" s="1"/>
  <c r="BD33" i="23" a="1"/>
  <c r="BD33" i="23" s="1"/>
  <c r="BC34" i="23" a="1"/>
  <c r="BC34" i="23" s="1"/>
  <c r="BD34" i="23" a="1"/>
  <c r="BD34" i="23" s="1"/>
  <c r="BC35" i="23" a="1"/>
  <c r="BC35" i="23" s="1"/>
  <c r="BD35" i="23" a="1"/>
  <c r="BD35" i="23" s="1"/>
  <c r="BC36" i="23" a="1"/>
  <c r="BC36" i="23" s="1"/>
  <c r="BD36" i="23" a="1"/>
  <c r="BD36" i="23" s="1"/>
  <c r="BC37" i="23" a="1"/>
  <c r="BC37" i="23" s="1"/>
  <c r="BD37" i="23" a="1"/>
  <c r="BD37" i="23" s="1"/>
  <c r="BC38" i="23" a="1"/>
  <c r="BC38" i="23" s="1"/>
  <c r="BD38" i="23" a="1"/>
  <c r="BD38" i="23" s="1"/>
  <c r="BC39" i="23" a="1"/>
  <c r="BC39" i="23" s="1"/>
  <c r="BD39" i="23" a="1"/>
  <c r="BD39" i="23" s="1"/>
  <c r="BC40" i="23" a="1"/>
  <c r="BC40" i="23" s="1"/>
  <c r="BD40" i="23" a="1"/>
  <c r="BD40" i="23" s="1"/>
  <c r="BC41" i="23" a="1"/>
  <c r="BC41" i="23" s="1"/>
  <c r="BD41" i="23" a="1"/>
  <c r="BD41" i="23" s="1"/>
  <c r="BC42" i="23" a="1"/>
  <c r="BC42" i="23" s="1"/>
  <c r="BD42" i="23" a="1"/>
  <c r="BD42" i="23" s="1"/>
  <c r="BC43" i="23" a="1"/>
  <c r="BC43" i="23" s="1"/>
  <c r="BD43" i="23" a="1"/>
  <c r="BD43" i="23" s="1"/>
  <c r="BC44" i="23" a="1"/>
  <c r="BC44" i="23" s="1"/>
  <c r="BD44" i="23" a="1"/>
  <c r="BD44" i="23" s="1"/>
  <c r="BC45" i="23" a="1"/>
  <c r="BC45" i="23" s="1"/>
  <c r="BD45" i="23" a="1"/>
  <c r="BD45" i="23" s="1"/>
  <c r="BC46" i="23" a="1"/>
  <c r="BC46" i="23" s="1"/>
  <c r="BD46" i="23" a="1"/>
  <c r="BD46" i="23" s="1"/>
  <c r="BC47" i="23" a="1"/>
  <c r="BC47" i="23" s="1"/>
  <c r="BD47" i="23" a="1"/>
  <c r="BD47" i="23" s="1"/>
  <c r="BC48" i="23" a="1"/>
  <c r="BC48" i="23" s="1"/>
  <c r="BD48" i="23" a="1"/>
  <c r="BD48" i="23" s="1"/>
  <c r="BC49" i="23" a="1"/>
  <c r="BC49" i="23" s="1"/>
  <c r="BD49" i="23" a="1"/>
  <c r="BD49" i="23" s="1"/>
  <c r="BC50" i="23" a="1"/>
  <c r="BC50" i="23" s="1"/>
  <c r="BD50" i="23" a="1"/>
  <c r="BD50" i="23" s="1"/>
  <c r="BC51" i="23" a="1"/>
  <c r="BC51" i="23" s="1"/>
  <c r="BD51" i="23" a="1"/>
  <c r="BD51" i="23" s="1"/>
  <c r="BC52" i="23" a="1"/>
  <c r="BC52" i="23" s="1"/>
  <c r="BD52" i="23" a="1"/>
  <c r="BD52" i="23" s="1"/>
  <c r="BC53" i="23" a="1"/>
  <c r="BC53" i="23" s="1"/>
  <c r="BD53" i="23" a="1"/>
  <c r="BD53" i="23" s="1"/>
  <c r="BC54" i="23" a="1"/>
  <c r="BC54" i="23" s="1"/>
  <c r="BD54" i="23" a="1"/>
  <c r="BD54" i="23" s="1"/>
  <c r="BC55" i="23" a="1"/>
  <c r="BC55" i="23" s="1"/>
  <c r="BD55" i="23" a="1"/>
  <c r="BD55" i="23" s="1"/>
  <c r="BC56" i="23" a="1"/>
  <c r="BC56" i="23" s="1"/>
  <c r="BD56" i="23" a="1"/>
  <c r="BD56" i="23" s="1"/>
  <c r="BC57" i="23" a="1"/>
  <c r="BC57" i="23" s="1"/>
  <c r="BD57" i="23" a="1"/>
  <c r="BD57" i="23" s="1"/>
  <c r="BC58" i="23" a="1"/>
  <c r="BC58" i="23" s="1"/>
  <c r="BD58" i="23" a="1"/>
  <c r="BD58" i="23" s="1"/>
  <c r="BC59" i="23" a="1"/>
  <c r="BC59" i="23" s="1"/>
  <c r="BD59" i="23" a="1"/>
  <c r="BD59" i="23" s="1"/>
  <c r="BC60" i="23" a="1"/>
  <c r="BC60" i="23" s="1"/>
  <c r="BD60" i="23" a="1"/>
  <c r="BD60" i="23" s="1"/>
  <c r="BC61" i="23" a="1"/>
  <c r="BC61" i="23" s="1"/>
  <c r="BD61" i="23" a="1"/>
  <c r="BD61" i="23" s="1"/>
  <c r="BC62" i="23" a="1"/>
  <c r="BC62" i="23" s="1"/>
  <c r="BD62" i="23" a="1"/>
  <c r="BD62" i="23" s="1"/>
  <c r="BC63" i="23" a="1"/>
  <c r="BC63" i="23" s="1"/>
  <c r="BD63" i="23" a="1"/>
  <c r="BD63" i="23" s="1"/>
  <c r="BC64" i="23" a="1"/>
  <c r="BC64" i="23" s="1"/>
  <c r="BD64" i="23" a="1"/>
  <c r="BD64" i="23" s="1"/>
  <c r="BC65" i="23" a="1"/>
  <c r="BC65" i="23" s="1"/>
  <c r="BD65" i="23" a="1"/>
  <c r="BD65" i="23" s="1"/>
  <c r="BC66" i="23" a="1"/>
  <c r="BC66" i="23" s="1"/>
  <c r="BD66" i="23" a="1"/>
  <c r="BD66" i="23" s="1"/>
  <c r="BC67" i="23" a="1"/>
  <c r="BC67" i="23" s="1"/>
  <c r="BD67" i="23" a="1"/>
  <c r="BD67" i="23" s="1"/>
  <c r="BC68" i="23" a="1"/>
  <c r="BC68" i="23" s="1"/>
  <c r="BD68" i="23" a="1"/>
  <c r="BD68" i="23" s="1"/>
  <c r="BC69" i="23" a="1"/>
  <c r="BC69" i="23" s="1"/>
  <c r="BD69" i="23" a="1"/>
  <c r="BD69" i="23" s="1"/>
  <c r="BC70" i="23" a="1"/>
  <c r="BC70" i="23" s="1"/>
  <c r="BD70" i="23" a="1"/>
  <c r="BD70" i="23" s="1"/>
  <c r="BC71" i="23" a="1"/>
  <c r="BC71" i="23" s="1"/>
  <c r="BD71" i="23" a="1"/>
  <c r="BD71" i="23" s="1"/>
  <c r="BC72" i="23" a="1"/>
  <c r="BC72" i="23" s="1"/>
  <c r="BD72" i="23" a="1"/>
  <c r="BD72" i="23" s="1"/>
  <c r="BC73" i="23" a="1"/>
  <c r="BC73" i="23" s="1"/>
  <c r="BD73" i="23" a="1"/>
  <c r="BD73" i="23" s="1"/>
  <c r="BC74" i="23" a="1"/>
  <c r="BC74" i="23" s="1"/>
  <c r="BD74" i="23" a="1"/>
  <c r="BD74" i="23" s="1"/>
  <c r="BC75" i="23" a="1"/>
  <c r="BC75" i="23" s="1"/>
  <c r="BD75" i="23" a="1"/>
  <c r="BD75" i="23" s="1"/>
  <c r="BC76" i="23" a="1"/>
  <c r="BC76" i="23" s="1"/>
  <c r="BD76" i="23" a="1"/>
  <c r="BD76" i="23" s="1"/>
  <c r="BC77" i="23" a="1"/>
  <c r="BC77" i="23" s="1"/>
  <c r="BD77" i="23" a="1"/>
  <c r="BD77" i="23" s="1"/>
  <c r="BC78" i="23" a="1"/>
  <c r="BC78" i="23" s="1"/>
  <c r="BD78" i="23" a="1"/>
  <c r="BD78" i="23" s="1"/>
  <c r="BC79" i="23" a="1"/>
  <c r="BC79" i="23" s="1"/>
  <c r="BD79" i="23" a="1"/>
  <c r="BD79" i="23" s="1"/>
  <c r="BC80" i="23" a="1"/>
  <c r="BC80" i="23" s="1"/>
  <c r="BD80" i="23" a="1"/>
  <c r="BD80" i="23" s="1"/>
  <c r="BC81" i="23" a="1"/>
  <c r="BC81" i="23" s="1"/>
  <c r="BD81" i="23" a="1"/>
  <c r="BD81" i="23" s="1"/>
  <c r="BC82" i="23" a="1"/>
  <c r="BC82" i="23" s="1"/>
  <c r="BD82" i="23" a="1"/>
  <c r="BD82" i="23" s="1"/>
  <c r="BC83" i="23" a="1"/>
  <c r="BC83" i="23" s="1"/>
  <c r="BD83" i="23" a="1"/>
  <c r="BD83" i="23" s="1"/>
  <c r="BC84" i="23" a="1"/>
  <c r="BC84" i="23" s="1"/>
  <c r="BD84" i="23" a="1"/>
  <c r="BD84" i="23" s="1"/>
  <c r="BC85" i="23" a="1"/>
  <c r="BC85" i="23" s="1"/>
  <c r="BD85" i="23" a="1"/>
  <c r="BD85" i="23" s="1"/>
  <c r="BC86" i="23" a="1"/>
  <c r="BC86" i="23" s="1"/>
  <c r="BD86" i="23" a="1"/>
  <c r="BD86" i="23" s="1"/>
  <c r="BC87" i="23" a="1"/>
  <c r="BC87" i="23" s="1"/>
  <c r="BD87" i="23" a="1"/>
  <c r="BD87" i="23" s="1"/>
  <c r="BC88" i="23" a="1"/>
  <c r="BC88" i="23" s="1"/>
  <c r="BD88" i="23" a="1"/>
  <c r="BD88" i="23" s="1"/>
  <c r="BC89" i="23" a="1"/>
  <c r="BC89" i="23" s="1"/>
  <c r="BD89" i="23" a="1"/>
  <c r="BD89" i="23" s="1"/>
  <c r="BC90" i="23" a="1"/>
  <c r="BC90" i="23" s="1"/>
  <c r="BD90" i="23" a="1"/>
  <c r="BD90" i="23" s="1"/>
  <c r="BC91" i="23" a="1"/>
  <c r="BC91" i="23" s="1"/>
  <c r="BD91" i="23" a="1"/>
  <c r="BD91" i="23" s="1"/>
  <c r="BC92" i="23" a="1"/>
  <c r="BC92" i="23" s="1"/>
  <c r="BD92" i="23" a="1"/>
  <c r="BD92" i="23" s="1"/>
  <c r="BC93" i="23" a="1"/>
  <c r="BC93" i="23" s="1"/>
  <c r="BD93" i="23" a="1"/>
  <c r="BD93" i="23" s="1"/>
  <c r="BC94" i="23" a="1"/>
  <c r="BC94" i="23" s="1"/>
  <c r="BD94" i="23" a="1"/>
  <c r="BD94" i="23" s="1"/>
  <c r="BC95" i="23" a="1"/>
  <c r="BC95" i="23" s="1"/>
  <c r="BD95" i="23" a="1"/>
  <c r="BD95" i="23" s="1"/>
  <c r="BC96" i="23" a="1"/>
  <c r="BC96" i="23" s="1"/>
  <c r="BD96" i="23" a="1"/>
  <c r="BD96" i="23" s="1"/>
  <c r="BC97" i="23" a="1"/>
  <c r="BC97" i="23" s="1"/>
  <c r="BD97" i="23" a="1"/>
  <c r="BD97" i="23" s="1"/>
  <c r="BC98" i="23" a="1"/>
  <c r="BC98" i="23" s="1"/>
  <c r="BD98" i="23" a="1"/>
  <c r="BD98" i="23" s="1"/>
  <c r="BC99" i="23" a="1"/>
  <c r="BC99" i="23" s="1"/>
  <c r="BD99" i="23" a="1"/>
  <c r="BD99" i="23" s="1"/>
  <c r="BC100" i="23" a="1"/>
  <c r="BC100" i="23" s="1"/>
  <c r="BD100" i="23" a="1"/>
  <c r="BD100" i="23" s="1"/>
  <c r="BC101" i="23" a="1"/>
  <c r="BC101" i="23" s="1"/>
  <c r="BD101" i="23" a="1"/>
  <c r="BD101" i="23" s="1"/>
  <c r="BC102" i="23" a="1"/>
  <c r="BC102" i="23" s="1"/>
  <c r="BD102" i="23" a="1"/>
  <c r="BD102" i="23" s="1"/>
  <c r="BC103" i="23" a="1"/>
  <c r="BC103" i="23" s="1"/>
  <c r="BD103" i="23" a="1"/>
  <c r="BD103" i="23" s="1"/>
  <c r="BC104" i="23" a="1"/>
  <c r="BC104" i="23" s="1"/>
  <c r="BD104" i="23" a="1"/>
  <c r="BD104" i="23" s="1"/>
  <c r="BC105" i="23" a="1"/>
  <c r="BC105" i="23" s="1"/>
  <c r="BD105" i="23" a="1"/>
  <c r="BD105" i="23" s="1"/>
  <c r="BC106" i="23" a="1"/>
  <c r="BC106" i="23" s="1"/>
  <c r="BD106" i="23" a="1"/>
  <c r="BD106" i="23" s="1"/>
  <c r="BC107" i="23" a="1"/>
  <c r="BC107" i="23" s="1"/>
  <c r="BD107" i="23" a="1"/>
  <c r="BD107" i="23" s="1"/>
  <c r="BC108" i="23" a="1"/>
  <c r="BC108" i="23" s="1"/>
  <c r="BD108" i="23" a="1"/>
  <c r="BD108" i="23" s="1"/>
  <c r="BC109" i="23" a="1"/>
  <c r="BC109" i="23" s="1"/>
  <c r="BD109" i="23" a="1"/>
  <c r="BD109" i="23" s="1"/>
  <c r="BC110" i="23" a="1"/>
  <c r="BC110" i="23" s="1"/>
  <c r="BD110" i="23" a="1"/>
  <c r="BD110" i="23" s="1"/>
  <c r="BC111" i="23" a="1"/>
  <c r="BC111" i="23" s="1"/>
  <c r="BD111" i="23" a="1"/>
  <c r="BD111" i="23" s="1"/>
  <c r="BC112" i="23" a="1"/>
  <c r="BC112" i="23" s="1"/>
  <c r="BD112" i="23" a="1"/>
  <c r="BD112" i="23" s="1"/>
  <c r="BC113" i="23" a="1"/>
  <c r="BC113" i="23" s="1"/>
  <c r="BD113" i="23" a="1"/>
  <c r="BD113" i="23" s="1"/>
  <c r="BC114" i="23" a="1"/>
  <c r="BC114" i="23" s="1"/>
  <c r="BD114" i="23" a="1"/>
  <c r="BD114" i="23" s="1"/>
  <c r="BC115" i="23" a="1"/>
  <c r="BC115" i="23" s="1"/>
  <c r="BD115" i="23" a="1"/>
  <c r="BD115" i="23" s="1"/>
  <c r="BC116" i="23" a="1"/>
  <c r="BC116" i="23" s="1"/>
  <c r="BD116" i="23" a="1"/>
  <c r="BD116" i="23" s="1"/>
  <c r="BC117" i="23" a="1"/>
  <c r="BC117" i="23" s="1"/>
  <c r="BD117" i="23" a="1"/>
  <c r="BD117" i="23" s="1"/>
  <c r="BC118" i="23" a="1"/>
  <c r="BC118" i="23" s="1"/>
  <c r="BD118" i="23" a="1"/>
  <c r="BD118" i="23" s="1"/>
  <c r="BC119" i="23" a="1"/>
  <c r="BC119" i="23" s="1"/>
  <c r="BD119" i="23" a="1"/>
  <c r="BD119" i="23" s="1"/>
  <c r="BC120" i="23" a="1"/>
  <c r="BC120" i="23" s="1"/>
  <c r="BD120" i="23" a="1"/>
  <c r="BD120" i="23" s="1"/>
  <c r="BC121" i="23" a="1"/>
  <c r="BC121" i="23" s="1"/>
  <c r="BD121" i="23" a="1"/>
  <c r="BD121" i="23" s="1"/>
  <c r="BC122" i="23" a="1"/>
  <c r="BC122" i="23" s="1"/>
  <c r="BD122" i="23" a="1"/>
  <c r="BD122" i="23" s="1"/>
  <c r="BC123" i="23" a="1"/>
  <c r="BC123" i="23" s="1"/>
  <c r="BD123" i="23" a="1"/>
  <c r="BD123" i="23" s="1"/>
  <c r="BC124" i="23" a="1"/>
  <c r="BC124" i="23" s="1"/>
  <c r="BD124" i="23" a="1"/>
  <c r="BD124" i="23" s="1"/>
  <c r="BC125" i="23" a="1"/>
  <c r="BC125" i="23" s="1"/>
  <c r="BD125" i="23" a="1"/>
  <c r="BD125" i="23" s="1"/>
  <c r="BC126" i="23" a="1"/>
  <c r="BC126" i="23" s="1"/>
  <c r="BD126" i="23" a="1"/>
  <c r="BD126" i="23" s="1"/>
  <c r="BC127" i="23" a="1"/>
  <c r="BC127" i="23" s="1"/>
  <c r="BD127" i="23" a="1"/>
  <c r="BD127" i="23" s="1"/>
  <c r="BC128" i="23" a="1"/>
  <c r="BC128" i="23" s="1"/>
  <c r="BD128" i="23" a="1"/>
  <c r="BD128" i="23" s="1"/>
  <c r="BC129" i="23" a="1"/>
  <c r="BC129" i="23" s="1"/>
  <c r="BD129" i="23" a="1"/>
  <c r="BD129" i="23" s="1"/>
  <c r="BC130" i="23" a="1"/>
  <c r="BC130" i="23" s="1"/>
  <c r="BD130" i="23" a="1"/>
  <c r="BD130" i="23" s="1"/>
  <c r="BC131" i="23" a="1"/>
  <c r="BC131" i="23" s="1"/>
  <c r="BD131" i="23" a="1"/>
  <c r="BD131" i="23" s="1"/>
  <c r="BC132" i="23" a="1"/>
  <c r="BC132" i="23" s="1"/>
  <c r="BD132" i="23" a="1"/>
  <c r="BD132" i="23" s="1"/>
  <c r="BC133" i="23" a="1"/>
  <c r="BC133" i="23" s="1"/>
  <c r="BD133" i="23" a="1"/>
  <c r="BD133" i="23" s="1"/>
  <c r="BC134" i="23" a="1"/>
  <c r="BC134" i="23" s="1"/>
  <c r="BD134" i="23" a="1"/>
  <c r="BD134" i="23" s="1"/>
  <c r="BC135" i="23" a="1"/>
  <c r="BC135" i="23" s="1"/>
  <c r="BD135" i="23" a="1"/>
  <c r="BD135" i="23" s="1"/>
  <c r="BC136" i="23" a="1"/>
  <c r="BC136" i="23" s="1"/>
  <c r="BD136" i="23" a="1"/>
  <c r="BD136" i="23" s="1"/>
  <c r="BC137" i="23" a="1"/>
  <c r="BC137" i="23" s="1"/>
  <c r="BD137" i="23" a="1"/>
  <c r="BD137" i="23" s="1"/>
  <c r="BC138" i="23" a="1"/>
  <c r="BC138" i="23" s="1"/>
  <c r="BD138" i="23" a="1"/>
  <c r="BD138" i="23" s="1"/>
  <c r="BC139" i="23" a="1"/>
  <c r="BC139" i="23" s="1"/>
  <c r="BD139" i="23" a="1"/>
  <c r="BD139" i="23" s="1"/>
  <c r="BC140" i="23" a="1"/>
  <c r="BC140" i="23" s="1"/>
  <c r="BD140" i="23" a="1"/>
  <c r="BD140" i="23" s="1"/>
  <c r="BC141" i="23" a="1"/>
  <c r="BC141" i="23" s="1"/>
  <c r="BD141" i="23" a="1"/>
  <c r="BD141" i="23" s="1"/>
  <c r="BC142" i="23" a="1"/>
  <c r="BC142" i="23" s="1"/>
  <c r="BD142" i="23" a="1"/>
  <c r="BD142" i="23" s="1"/>
  <c r="BC143" i="23" a="1"/>
  <c r="BC143" i="23" s="1"/>
  <c r="BD143" i="23" a="1"/>
  <c r="BD143" i="23" s="1"/>
  <c r="BC144" i="23" a="1"/>
  <c r="BC144" i="23" s="1"/>
  <c r="BD144" i="23" a="1"/>
  <c r="BD144" i="23" s="1"/>
  <c r="BC145" i="23" a="1"/>
  <c r="BC145" i="23" s="1"/>
  <c r="BD145" i="23" a="1"/>
  <c r="BD145" i="23" s="1"/>
  <c r="BC146" i="23" a="1"/>
  <c r="BC146" i="23" s="1"/>
  <c r="BD146" i="23" a="1"/>
  <c r="BD146" i="23" s="1"/>
  <c r="BC147" i="23" a="1"/>
  <c r="BC147" i="23" s="1"/>
  <c r="BD147" i="23" a="1"/>
  <c r="BD147" i="23" s="1"/>
  <c r="BC148" i="23" a="1"/>
  <c r="BC148" i="23" s="1"/>
  <c r="BD148" i="23" a="1"/>
  <c r="BD148" i="23" s="1"/>
  <c r="BC149" i="23" a="1"/>
  <c r="BC149" i="23" s="1"/>
  <c r="BD149" i="23" a="1"/>
  <c r="BD149" i="23" s="1"/>
  <c r="BC150" i="23" a="1"/>
  <c r="BC150" i="23" s="1"/>
  <c r="BD150" i="23" a="1"/>
  <c r="BD150" i="23" s="1"/>
  <c r="BC151" i="23" a="1"/>
  <c r="BC151" i="23" s="1"/>
  <c r="BD151" i="23" a="1"/>
  <c r="BD151" i="23" s="1"/>
  <c r="BC152" i="23" a="1"/>
  <c r="BC152" i="23" s="1"/>
  <c r="BD152" i="23" a="1"/>
  <c r="BD152" i="23" s="1"/>
  <c r="BC153" i="23" a="1"/>
  <c r="BC153" i="23" s="1"/>
  <c r="BD153" i="23" a="1"/>
  <c r="BD153" i="23" s="1"/>
  <c r="BC154" i="23" a="1"/>
  <c r="BC154" i="23" s="1"/>
  <c r="BD154" i="23" a="1"/>
  <c r="BD154" i="23" s="1"/>
  <c r="BC155" i="23" a="1"/>
  <c r="BC155" i="23" s="1"/>
  <c r="BD155" i="23" a="1"/>
  <c r="BD155" i="23" s="1"/>
  <c r="BC156" i="23" a="1"/>
  <c r="BC156" i="23" s="1"/>
  <c r="BD156" i="23" a="1"/>
  <c r="BD156" i="23" s="1"/>
  <c r="BC157" i="23" a="1"/>
  <c r="BC157" i="23" s="1"/>
  <c r="BD157" i="23" a="1"/>
  <c r="BD157" i="23" s="1"/>
  <c r="BC158" i="23" a="1"/>
  <c r="BC158" i="23" s="1"/>
  <c r="BD158" i="23" a="1"/>
  <c r="BD158" i="23" s="1"/>
  <c r="BC159" i="23" a="1"/>
  <c r="BC159" i="23" s="1"/>
  <c r="BD159" i="23" a="1"/>
  <c r="BD159" i="23" s="1"/>
  <c r="BC160" i="23" a="1"/>
  <c r="BC160" i="23" s="1"/>
  <c r="BD160" i="23" a="1"/>
  <c r="BD160" i="23" s="1"/>
  <c r="BC161" i="23" a="1"/>
  <c r="BC161" i="23" s="1"/>
  <c r="BD161" i="23" a="1"/>
  <c r="BD161" i="23" s="1"/>
  <c r="BC162" i="23" a="1"/>
  <c r="BC162" i="23" s="1"/>
  <c r="BD162" i="23" a="1"/>
  <c r="BD162" i="23" s="1"/>
  <c r="BC163" i="23" a="1"/>
  <c r="BC163" i="23" s="1"/>
  <c r="BD163" i="23" a="1"/>
  <c r="BD163" i="23" s="1"/>
  <c r="BC164" i="23" a="1"/>
  <c r="BC164" i="23" s="1"/>
  <c r="BD164" i="23" a="1"/>
  <c r="BD164" i="23" s="1"/>
  <c r="BC165" i="23" a="1"/>
  <c r="BC165" i="23" s="1"/>
  <c r="BD165" i="23" a="1"/>
  <c r="BD165" i="23" s="1"/>
  <c r="BC166" i="23" a="1"/>
  <c r="BC166" i="23" s="1"/>
  <c r="BD166" i="23" a="1"/>
  <c r="BD166" i="23" s="1"/>
  <c r="BC167" i="23" a="1"/>
  <c r="BC167" i="23" s="1"/>
  <c r="BD167" i="23" a="1"/>
  <c r="BD167" i="23" s="1"/>
  <c r="BC168" i="23" a="1"/>
  <c r="BC168" i="23" s="1"/>
  <c r="BD168" i="23" a="1"/>
  <c r="BD168" i="23" s="1"/>
  <c r="BC169" i="23" a="1"/>
  <c r="BC169" i="23" s="1"/>
  <c r="BD169" i="23" a="1"/>
  <c r="BD169" i="23" s="1"/>
  <c r="BC170" i="23" a="1"/>
  <c r="BC170" i="23" s="1"/>
  <c r="BD170" i="23" a="1"/>
  <c r="BD170" i="23" s="1"/>
  <c r="BC171" i="23" a="1"/>
  <c r="BC171" i="23" s="1"/>
  <c r="BD171" i="23" a="1"/>
  <c r="BD171" i="23" s="1"/>
  <c r="BC172" i="23" a="1"/>
  <c r="BC172" i="23" s="1"/>
  <c r="BD172" i="23" a="1"/>
  <c r="BD172" i="23" s="1"/>
  <c r="BC173" i="23" a="1"/>
  <c r="BC173" i="23" s="1"/>
  <c r="BD173" i="23" a="1"/>
  <c r="BD173" i="23" s="1"/>
  <c r="BC174" i="23" a="1"/>
  <c r="BC174" i="23" s="1"/>
  <c r="BD174" i="23" a="1"/>
  <c r="BD174" i="23" s="1"/>
  <c r="BC175" i="23" a="1"/>
  <c r="BC175" i="23" s="1"/>
  <c r="BD175" i="23" a="1"/>
  <c r="BD175" i="23" s="1"/>
  <c r="BC176" i="23" a="1"/>
  <c r="BC176" i="23" s="1"/>
  <c r="BD176" i="23" a="1"/>
  <c r="BD176" i="23" s="1"/>
  <c r="BC177" i="23" a="1"/>
  <c r="BC177" i="23" s="1"/>
  <c r="BD177" i="23" a="1"/>
  <c r="BD177" i="23" s="1"/>
  <c r="BC178" i="23" a="1"/>
  <c r="BC178" i="23" s="1"/>
  <c r="BD178" i="23" a="1"/>
  <c r="BD178" i="23" s="1"/>
  <c r="BC179" i="23" a="1"/>
  <c r="BC179" i="23" s="1"/>
  <c r="BD179" i="23" a="1"/>
  <c r="BD179" i="23" s="1"/>
  <c r="BC180" i="23" a="1"/>
  <c r="BC180" i="23" s="1"/>
  <c r="BD180" i="23" a="1"/>
  <c r="BD180" i="23" s="1"/>
  <c r="BC181" i="23" a="1"/>
  <c r="BC181" i="23" s="1"/>
  <c r="BD181" i="23" a="1"/>
  <c r="BD181" i="23" s="1"/>
  <c r="BC182" i="23" a="1"/>
  <c r="BC182" i="23" s="1"/>
  <c r="BD182" i="23" a="1"/>
  <c r="BD182" i="23" s="1"/>
  <c r="BC183" i="23" a="1"/>
  <c r="BC183" i="23" s="1"/>
  <c r="BD183" i="23" a="1"/>
  <c r="BD183" i="23" s="1"/>
  <c r="BC184" i="23" a="1"/>
  <c r="BC184" i="23" s="1"/>
  <c r="BD184" i="23" a="1"/>
  <c r="BD184" i="23" s="1"/>
  <c r="BC185" i="23" a="1"/>
  <c r="BC185" i="23" s="1"/>
  <c r="BD185" i="23" a="1"/>
  <c r="BD185" i="23" s="1"/>
  <c r="BC186" i="23" a="1"/>
  <c r="BC186" i="23" s="1"/>
  <c r="BD186" i="23" a="1"/>
  <c r="BD186" i="23" s="1"/>
  <c r="BC187" i="23" a="1"/>
  <c r="BC187" i="23" s="1"/>
  <c r="BD187" i="23" a="1"/>
  <c r="BD187" i="23" s="1"/>
  <c r="BC188" i="23" a="1"/>
  <c r="BC188" i="23" s="1"/>
  <c r="BD188" i="23" a="1"/>
  <c r="BD188" i="23" s="1"/>
  <c r="BC189" i="23" a="1"/>
  <c r="BC189" i="23" s="1"/>
  <c r="BD189" i="23" a="1"/>
  <c r="BD189" i="23" s="1"/>
  <c r="BC190" i="23" a="1"/>
  <c r="BC190" i="23" s="1"/>
  <c r="BD190" i="23" a="1"/>
  <c r="BD190" i="23" s="1"/>
  <c r="BC191" i="23" a="1"/>
  <c r="BC191" i="23" s="1"/>
  <c r="BD191" i="23" a="1"/>
  <c r="BD191" i="23" s="1"/>
  <c r="BC192" i="23" a="1"/>
  <c r="BC192" i="23" s="1"/>
  <c r="BD192" i="23" a="1"/>
  <c r="BD192" i="23" s="1"/>
  <c r="BC193" i="23" a="1"/>
  <c r="BC193" i="23" s="1"/>
  <c r="BD193" i="23" a="1"/>
  <c r="BD193" i="23" s="1"/>
  <c r="BC194" i="23" a="1"/>
  <c r="BC194" i="23" s="1"/>
  <c r="BD194" i="23" a="1"/>
  <c r="BD194" i="23" s="1"/>
  <c r="BC195" i="23" a="1"/>
  <c r="BC195" i="23" s="1"/>
  <c r="BD195" i="23" a="1"/>
  <c r="BD195" i="23" s="1"/>
  <c r="BC196" i="23" a="1"/>
  <c r="BC196" i="23" s="1"/>
  <c r="BD196" i="23" a="1"/>
  <c r="BD196" i="23" s="1"/>
  <c r="BC197" i="23" a="1"/>
  <c r="BC197" i="23" s="1"/>
  <c r="BD197" i="23" a="1"/>
  <c r="BD197" i="23" s="1"/>
  <c r="BC198" i="23" a="1"/>
  <c r="BC198" i="23" s="1"/>
  <c r="BD198" i="23" a="1"/>
  <c r="BD198" i="23" s="1"/>
  <c r="BC199" i="23" a="1"/>
  <c r="BC199" i="23" s="1"/>
  <c r="BD199" i="23" a="1"/>
  <c r="BD199" i="23" s="1"/>
  <c r="BC200" i="23" a="1"/>
  <c r="BC200" i="23" s="1"/>
  <c r="BD200" i="23" a="1"/>
  <c r="BD200" i="23" s="1"/>
  <c r="BD2" i="23" a="1"/>
  <c r="BD2" i="23" s="1"/>
  <c r="BC2" i="23" a="1"/>
  <c r="BC2" i="23" s="1"/>
</calcChain>
</file>

<file path=xl/sharedStrings.xml><?xml version="1.0" encoding="utf-8"?>
<sst xmlns="http://schemas.openxmlformats.org/spreadsheetml/2006/main" count="182" uniqueCount="29">
  <si>
    <t>Day3</t>
  </si>
  <si>
    <t>Week 1</t>
  </si>
  <si>
    <t>Thu</t>
  </si>
  <si>
    <t>Blank</t>
  </si>
  <si>
    <t>Day4</t>
  </si>
  <si>
    <t>Sun</t>
  </si>
  <si>
    <t>Day5</t>
  </si>
  <si>
    <t>Mon</t>
  </si>
  <si>
    <t>Day6</t>
  </si>
  <si>
    <t>Tue</t>
  </si>
  <si>
    <t>Day7</t>
  </si>
  <si>
    <t>Wed</t>
  </si>
  <si>
    <t>Day8</t>
  </si>
  <si>
    <t>Week 2</t>
  </si>
  <si>
    <t>Day9</t>
  </si>
  <si>
    <t>Day10</t>
  </si>
  <si>
    <t>Day11</t>
  </si>
  <si>
    <t>Day12</t>
  </si>
  <si>
    <t>Day13</t>
  </si>
  <si>
    <t>Week 3</t>
  </si>
  <si>
    <t>Day14</t>
  </si>
  <si>
    <t>Last Month Calculations</t>
  </si>
  <si>
    <t>Course</t>
  </si>
  <si>
    <t>Day</t>
  </si>
  <si>
    <t>RC</t>
  </si>
  <si>
    <t>Count</t>
  </si>
  <si>
    <t>AB 3535 AM4 02/19 (3)</t>
  </si>
  <si>
    <t>This Month Calculations</t>
  </si>
  <si>
    <t>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</si>
</sst>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9999"/>
      <color rgb="FF000000"/>
      <color rgb="FF400080"/>
      <color rgb="FFBDF9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5</xdr:row>
          <xdr:rowOff>133350</xdr:rowOff>
        </xdr:from>
        <xdr:to>
          <xdr:col>6</xdr:col>
          <xdr:colOff>466725</xdr:colOff>
          <xdr:row>10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C2:BZ200"/>
  <sheetViews>
    <sheetView topLeftCell="AC1" zoomScale="70" zoomScaleNormal="70" workbookViewId="0">
      <selection activeCell="U26" sqref="U26"/>
    </sheetView>
  </sheetViews>
  <sheetFormatPr defaultRowHeight="15" x14ac:dyDescent="0.25"/>
  <cols>
    <col min="55" max="55" width="27.7109375" bestFit="1" customWidth="1"/>
    <col min="56" max="56" width="14" bestFit="1" customWidth="1"/>
    <col min="57" max="57" width="13.42578125" bestFit="1" customWidth="1"/>
  </cols>
  <sheetData>
    <row r="2" spans="55:57" x14ac:dyDescent="0.25">
      <c r="BC2">
        <f t="array" ref="BC2">IFERROR(INDEX((FTT),SMALL(IF($BB2=((c_Date)),ROW(FTT)-1,""),COLUMNS($BC2:BC2))),"")</f>
        <v>0</v>
      </c>
      <c r="BD2">
        <f t="array" ref="BD2">IFERROR(INDEX((FTT),SMALL(IF($BB2=((c_Date)),ROW(FTT)-1,""),COLUMNS($BC2:BD2))),"")</f>
        <v>0</v>
      </c>
      <c r="BE2">
        <f t="array" ref="BE2">IFERROR(INDEX((FTT),SMALL(IF($BB2=((c_Date)),ROW(FTT)-1,""),COLUMNS($BC2:BE2))),"")</f>
        <v>0</v>
      </c>
    </row>
    <row r="3" spans="55:57" x14ac:dyDescent="0.25">
      <c r="BC3">
        <f t="array" ref="BC3">IFERROR(INDEX((FTT),SMALL(IF($BB3=((c_Date)),ROW(FTT)-1,""),COLUMNS($BC3:BC3))),"")</f>
        <v>0</v>
      </c>
      <c r="BD3">
        <f t="array" ref="BD3">IFERROR(INDEX((FTT),SMALL(IF($BB3=((c_Date)),ROW(FTT)-1,""),COLUMNS($BC3:BD3))),"")</f>
        <v>0</v>
      </c>
      <c r="BE3">
        <f t="array" ref="BE3">IFERROR(INDEX((FTT),SMALL(IF($BB3=((c_Date)),ROW(FTT)-1,""),COLUMNS($BC3:BE3))),"")</f>
        <v>0</v>
      </c>
    </row>
    <row r="4" spans="55:57" x14ac:dyDescent="0.25">
      <c r="BC4">
        <f t="array" ref="BC4">IFERROR(INDEX((FTT),SMALL(IF($BB4=((c_Date)),ROW(FTT)-1,""),COLUMNS($BC4:BC4))),"")</f>
        <v>0</v>
      </c>
      <c r="BD4">
        <f t="array" ref="BD4">IFERROR(INDEX((FTT),SMALL(IF($BB4=((c_Date)),ROW(FTT)-1,""),COLUMNS($BC4:BD4))),"")</f>
        <v>0</v>
      </c>
      <c r="BE4">
        <f t="array" ref="BE4">IFERROR(INDEX((FTT),SMALL(IF($BB4=((c_Date)),ROW(FTT)-1,""),COLUMNS($BC4:BE4))),"")</f>
        <v>0</v>
      </c>
    </row>
    <row r="5" spans="55:57" x14ac:dyDescent="0.25">
      <c r="BC5">
        <f t="array" ref="BC5">IFERROR(INDEX((FTT),SMALL(IF($BB5=((c_Date)),ROW(FTT)-1,""),COLUMNS($BC5:BC5))),"")</f>
        <v>0</v>
      </c>
      <c r="BD5">
        <f t="array" ref="BD5">IFERROR(INDEX((FTT),SMALL(IF($BB5=((c_Date)),ROW(FTT)-1,""),COLUMNS($BC5:BD5))),"")</f>
        <v>0</v>
      </c>
      <c r="BE5">
        <f t="array" ref="BE5">IFERROR(INDEX((FTT),SMALL(IF($BB5=((c_Date)),ROW(FTT)-1,""),COLUMNS($BC5:BE5))),"")</f>
        <v>0</v>
      </c>
    </row>
    <row r="6" spans="55:57" x14ac:dyDescent="0.25">
      <c r="BC6">
        <f t="array" ref="BC6">IFERROR(INDEX((FTT),SMALL(IF($BB6=((c_Date)),ROW(FTT)-1,""),COLUMNS($BC6:BC6))),"")</f>
        <v>0</v>
      </c>
      <c r="BD6">
        <f t="array" ref="BD6">IFERROR(INDEX((FTT),SMALL(IF($BB6=((c_Date)),ROW(FTT)-1,""),COLUMNS($BC6:BD6))),"")</f>
        <v>0</v>
      </c>
      <c r="BE6">
        <f t="array" ref="BE6">IFERROR(INDEX((FTT),SMALL(IF($BB6=((c_Date)),ROW(FTT)-1,""),COLUMNS($BC6:BE6))),"")</f>
        <v>0</v>
      </c>
    </row>
    <row r="7" spans="55:57" x14ac:dyDescent="0.25">
      <c r="BC7">
        <f t="array" ref="BC7">IFERROR(INDEX((FTT),SMALL(IF($BB7=((c_Date)),ROW(FTT)-1,""),COLUMNS($BC7:BC7))),"")</f>
        <v>0</v>
      </c>
      <c r="BD7">
        <f t="array" ref="BD7">IFERROR(INDEX((FTT),SMALL(IF($BB7=((c_Date)),ROW(FTT)-1,""),COLUMNS($BC7:BD7))),"")</f>
        <v>0</v>
      </c>
      <c r="BE7">
        <f t="array" ref="BE7">IFERROR(INDEX((FTT),SMALL(IF($BB7=((c_Date)),ROW(FTT)-1,""),COLUMNS($BC7:BE7))),"")</f>
        <v>0</v>
      </c>
    </row>
    <row r="8" spans="55:57" x14ac:dyDescent="0.25">
      <c r="BC8">
        <f t="array" ref="BC8">IFERROR(INDEX((FTT),SMALL(IF($BB8=((c_Date)),ROW(FTT)-1,""),COLUMNS($BC8:BC8))),"")</f>
        <v>0</v>
      </c>
      <c r="BD8">
        <f t="array" ref="BD8">IFERROR(INDEX((FTT),SMALL(IF($BB8=((c_Date)),ROW(FTT)-1,""),COLUMNS($BC8:BD8))),"")</f>
        <v>0</v>
      </c>
      <c r="BE8">
        <f t="array" ref="BE8">IFERROR(INDEX((FTT),SMALL(IF($BB8=((c_Date)),ROW(FTT)-1,""),COLUMNS($BC8:BE8))),"")</f>
        <v>0</v>
      </c>
    </row>
    <row r="9" spans="55:57" x14ac:dyDescent="0.25">
      <c r="BC9">
        <f t="array" ref="BC9">IFERROR(INDEX((FTT),SMALL(IF($BB9=((c_Date)),ROW(FTT)-1,""),COLUMNS($BC9:BC9))),"")</f>
        <v>0</v>
      </c>
      <c r="BD9">
        <f t="array" ref="BD9">IFERROR(INDEX((FTT),SMALL(IF($BB9=((c_Date)),ROW(FTT)-1,""),COLUMNS($BC9:BD9))),"")</f>
        <v>0</v>
      </c>
      <c r="BE9">
        <f t="array" ref="BE9">IFERROR(INDEX((FTT),SMALL(IF($BB9=((c_Date)),ROW(FTT)-1,""),COLUMNS($BC9:BE9))),"")</f>
        <v>0</v>
      </c>
    </row>
    <row r="10" spans="55:57" x14ac:dyDescent="0.25">
      <c r="BC10">
        <f t="array" ref="BC10">IFERROR(INDEX((FTT),SMALL(IF($BB10=((c_Date)),ROW(FTT)-1,""),COLUMNS($BC10:BC10))),"")</f>
        <v>0</v>
      </c>
      <c r="BD10">
        <f t="array" ref="BD10">IFERROR(INDEX((FTT),SMALL(IF($BB10=((c_Date)),ROW(FTT)-1,""),COLUMNS($BC10:BD10))),"")</f>
        <v>0</v>
      </c>
      <c r="BE10">
        <f t="array" ref="BE10">IFERROR(INDEX((FTT),SMALL(IF($BB10=((c_Date)),ROW(FTT)-1,""),COLUMNS($BC10:BE10))),"")</f>
        <v>0</v>
      </c>
    </row>
    <row r="11" spans="55:57" x14ac:dyDescent="0.25">
      <c r="BC11">
        <f t="array" ref="BC11">IFERROR(INDEX((FTT),SMALL(IF($BB11=((c_Date)),ROW(FTT)-1,""),COLUMNS($BC11:BC11))),"")</f>
        <v>0</v>
      </c>
      <c r="BD11">
        <f t="array" ref="BD11">IFERROR(INDEX((FTT),SMALL(IF($BB11=((c_Date)),ROW(FTT)-1,""),COLUMNS($BC11:BD11))),"")</f>
        <v>0</v>
      </c>
      <c r="BE11">
        <f t="array" ref="BE11">IFERROR(INDEX((FTT),SMALL(IF($BB11=((c_Date)),ROW(FTT)-1,""),COLUMNS($BC11:BE11))),"")</f>
        <v>0</v>
      </c>
    </row>
    <row r="12" spans="55:57" x14ac:dyDescent="0.25">
      <c r="BC12">
        <f t="array" ref="BC12">IFERROR(INDEX((FTT),SMALL(IF($BB12=((c_Date)),ROW(FTT)-1,""),COLUMNS($BC12:BC12))),"")</f>
        <v>0</v>
      </c>
      <c r="BD12">
        <f t="array" ref="BD12">IFERROR(INDEX((FTT),SMALL(IF($BB12=((c_Date)),ROW(FTT)-1,""),COLUMNS($BC12:BD12))),"")</f>
        <v>0</v>
      </c>
      <c r="BE12">
        <f t="array" ref="BE12">IFERROR(INDEX((FTT),SMALL(IF($BB12=((c_Date)),ROW(FTT)-1,""),COLUMNS($BC12:BE12))),"")</f>
        <v>0</v>
      </c>
    </row>
    <row r="13" spans="55:57" x14ac:dyDescent="0.25">
      <c r="BC13">
        <f t="array" ref="BC13">IFERROR(INDEX((FTT),SMALL(IF($BB13=((c_Date)),ROW(FTT)-1,""),COLUMNS($BC13:BC13))),"")</f>
        <v>0</v>
      </c>
      <c r="BD13">
        <f t="array" ref="BD13">IFERROR(INDEX((FTT),SMALL(IF($BB13=((c_Date)),ROW(FTT)-1,""),COLUMNS($BC13:BD13))),"")</f>
        <v>0</v>
      </c>
      <c r="BE13">
        <f t="array" ref="BE13">IFERROR(INDEX((FTT),SMALL(IF($BB13=((c_Date)),ROW(FTT)-1,""),COLUMNS($BC13:BE13))),"")</f>
        <v>0</v>
      </c>
    </row>
    <row r="14" spans="55:57" x14ac:dyDescent="0.25">
      <c r="BC14">
        <f t="array" ref="BC14">IFERROR(INDEX((FTT),SMALL(IF($BB14=((c_Date)),ROW(FTT)-1,""),COLUMNS($BC14:BC14))),"")</f>
        <v>0</v>
      </c>
      <c r="BD14">
        <f t="array" ref="BD14">IFERROR(INDEX((FTT),SMALL(IF($BB14=((c_Date)),ROW(FTT)-1,""),COLUMNS($BC14:BD14))),"")</f>
        <v>0</v>
      </c>
      <c r="BE14">
        <f t="array" ref="BE14">IFERROR(INDEX((FTT),SMALL(IF($BB14=((c_Date)),ROW(FTT)-1,""),COLUMNS($BC14:BE14))),"")</f>
        <v>0</v>
      </c>
    </row>
    <row r="15" spans="55:57" x14ac:dyDescent="0.25">
      <c r="BC15">
        <f t="array" ref="BC15">IFERROR(INDEX((FTT),SMALL(IF($BB15=((c_Date)),ROW(FTT)-1,""),COLUMNS($BC15:BC15))),"")</f>
        <v>0</v>
      </c>
      <c r="BD15">
        <f t="array" ref="BD15">IFERROR(INDEX((FTT),SMALL(IF($BB15=((c_Date)),ROW(FTT)-1,""),COLUMNS($BC15:BD15))),"")</f>
        <v>0</v>
      </c>
      <c r="BE15">
        <f t="array" ref="BE15">IFERROR(INDEX((FTT),SMALL(IF($BB15=((c_Date)),ROW(FTT)-1,""),COLUMNS($BC15:BE15))),"")</f>
        <v>0</v>
      </c>
    </row>
    <row r="16" spans="55:57" x14ac:dyDescent="0.25">
      <c r="BC16">
        <f t="array" ref="BC16">IFERROR(INDEX((FTT),SMALL(IF($BB16=((c_Date)),ROW(FTT)-1,""),COLUMNS($BC16:BC16))),"")</f>
        <v>0</v>
      </c>
      <c r="BD16">
        <f t="array" ref="BD16">IFERROR(INDEX((FTT),SMALL(IF($BB16=((c_Date)),ROW(FTT)-1,""),COLUMNS($BC16:BD16))),"")</f>
        <v>0</v>
      </c>
      <c r="BE16">
        <f t="array" ref="BE16">IFERROR(INDEX((FTT),SMALL(IF($BB16=((c_Date)),ROW(FTT)-1,""),COLUMNS($BC16:BE16))),"")</f>
        <v>0</v>
      </c>
    </row>
    <row r="17" spans="55:78" x14ac:dyDescent="0.25">
      <c r="BC17">
        <f t="array" ref="BC17">IFERROR(INDEX((FTT),SMALL(IF($BB17=((c_Date)),ROW(FTT)-1,""),COLUMNS($BC17:BC17))),"")</f>
        <v>0</v>
      </c>
      <c r="BD17">
        <f t="array" ref="BD17">IFERROR(INDEX((FTT),SMALL(IF($BB17=((c_Date)),ROW(FTT)-1,""),COLUMNS($BC17:BD17))),"")</f>
        <v>0</v>
      </c>
      <c r="BE17">
        <f t="array" ref="BE17">IFERROR(INDEX((FTT),SMALL(IF($BB17=((c_Date)),ROW(FTT)-1,""),COLUMNS($BC17:BE17))),"")</f>
        <v>0</v>
      </c>
    </row>
    <row r="18" spans="55:78" x14ac:dyDescent="0.25">
      <c r="BC18">
        <f t="array" ref="BC18">IFERROR(INDEX((FTT),SMALL(IF($BB18=((c_Date)),ROW(FTT)-1,""),COLUMNS($BC18:BC18))),"")</f>
        <v>0</v>
      </c>
      <c r="BD18">
        <f t="array" ref="BD18">IFERROR(INDEX((FTT),SMALL(IF($BB18=((c_Date)),ROW(FTT)-1,""),COLUMNS($BC18:BD18))),"")</f>
        <v>0</v>
      </c>
      <c r="BE18">
        <f t="array" ref="BE18">IFERROR(INDEX((FTT),SMALL(IF($BB18=((c_Date)),ROW(FTT)-1,""),COLUMNS($BC18:BE18))),"")</f>
        <v>0</v>
      </c>
    </row>
    <row r="19" spans="55:78" x14ac:dyDescent="0.25">
      <c r="BC19">
        <f t="array" ref="BC19">IFERROR(INDEX((FTT),SMALL(IF($BB19=((c_Date)),ROW(FTT)-1,""),COLUMNS($BC19:BC19))),"")</f>
        <v>0</v>
      </c>
      <c r="BD19">
        <f t="array" ref="BD19">IFERROR(INDEX((FTT),SMALL(IF($BB19=((c_Date)),ROW(FTT)-1,""),COLUMNS($BC19:BD19))),"")</f>
        <v>0</v>
      </c>
      <c r="BE19">
        <f t="array" ref="BE19">IFERROR(INDEX((FTT),SMALL(IF($BB19=((c_Date)),ROW(FTT)-1,""),COLUMNS($BC19:BE19))),"")</f>
        <v>0</v>
      </c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</row>
    <row r="20" spans="55:78" x14ac:dyDescent="0.25">
      <c r="BC20">
        <f t="array" ref="BC20">IFERROR(INDEX((FTT),SMALL(IF($BB20=((c_Date)),ROW(FTT)-1,""),COLUMNS($BC20:BC20))),"")</f>
        <v>0</v>
      </c>
      <c r="BD20">
        <f t="array" ref="BD20">IFERROR(INDEX((FTT),SMALL(IF($BB20=((c_Date)),ROW(FTT)-1,""),COLUMNS($BC20:BD20))),"")</f>
        <v>0</v>
      </c>
      <c r="BE20">
        <f t="array" ref="BE20">IFERROR(INDEX((FTT),SMALL(IF($BB20=((c_Date)),ROW(FTT)-1,""),COLUMNS($BC20:BE20))),"")</f>
        <v>0</v>
      </c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</row>
    <row r="21" spans="55:78" x14ac:dyDescent="0.25">
      <c r="BC21">
        <f t="array" ref="BC21">IFERROR(INDEX((FTT),SMALL(IF($BB21=((c_Date)),ROW(FTT)-1,""),COLUMNS($BC21:BC21))),"")</f>
        <v>0</v>
      </c>
      <c r="BD21">
        <f t="array" ref="BD21">IFERROR(INDEX((FTT),SMALL(IF($BB21=((c_Date)),ROW(FTT)-1,""),COLUMNS($BC21:BD21))),"")</f>
        <v>0</v>
      </c>
      <c r="BE21">
        <f t="array" ref="BE21">IFERROR(INDEX((FTT),SMALL(IF($BB21=((c_Date)),ROW(FTT)-1,""),COLUMNS($BC21:BE21))),"")</f>
        <v>0</v>
      </c>
    </row>
    <row r="22" spans="55:78" x14ac:dyDescent="0.25">
      <c r="BC22">
        <f t="array" ref="BC22">IFERROR(INDEX((FTT),SMALL(IF($BB22=((c_Date)),ROW(FTT)-1,""),COLUMNS($BC22:BC22))),"")</f>
        <v>0</v>
      </c>
      <c r="BD22">
        <f t="array" ref="BD22">IFERROR(INDEX((FTT),SMALL(IF($BB22=((c_Date)),ROW(FTT)-1,""),COLUMNS($BC22:BD22))),"")</f>
        <v>0</v>
      </c>
      <c r="BE22">
        <f t="array" ref="BE22">IFERROR(INDEX((FTT),SMALL(IF($BB22=((c_Date)),ROW(FTT)-1,""),COLUMNS($BC22:BE22))),"")</f>
        <v>0</v>
      </c>
    </row>
    <row r="23" spans="55:78" x14ac:dyDescent="0.25">
      <c r="BC23">
        <f t="array" ref="BC23">IFERROR(INDEX((FTT),SMALL(IF($BB23=((c_Date)),ROW(FTT)-1,""),COLUMNS($BC23:BC23))),"")</f>
        <v>0</v>
      </c>
      <c r="BD23">
        <f t="array" ref="BD23">IFERROR(INDEX((FTT),SMALL(IF($BB23=((c_Date)),ROW(FTT)-1,""),COLUMNS($BC23:BD23))),"")</f>
        <v>0</v>
      </c>
      <c r="BE23">
        <f t="array" ref="BE23">IFERROR(INDEX((FTT),SMALL(IF($BB23=((c_Date)),ROW(FTT)-1,""),COLUMNS($BC23:BE23))),"")</f>
        <v>0</v>
      </c>
    </row>
    <row r="24" spans="55:78" x14ac:dyDescent="0.25">
      <c r="BC24">
        <f t="array" ref="BC24">IFERROR(INDEX((FTT),SMALL(IF($BB24=((c_Date)),ROW(FTT)-1,""),COLUMNS($BC24:BC24))),"")</f>
        <v>0</v>
      </c>
      <c r="BD24">
        <f t="array" ref="BD24">IFERROR(INDEX((FTT),SMALL(IF($BB24=((c_Date)),ROW(FTT)-1,""),COLUMNS($BC24:BD24))),"")</f>
        <v>0</v>
      </c>
      <c r="BE24">
        <f t="array" ref="BE24">IFERROR(INDEX((FTT),SMALL(IF($BB24=((c_Date)),ROW(FTT)-1,""),COLUMNS($BC24:BE24))),"")</f>
        <v>0</v>
      </c>
    </row>
    <row r="25" spans="55:78" x14ac:dyDescent="0.25">
      <c r="BC25">
        <f t="array" ref="BC25">IFERROR(INDEX((FTT),SMALL(IF($BB25=((c_Date)),ROW(FTT)-1,""),COLUMNS($BC25:BC25))),"")</f>
        <v>0</v>
      </c>
      <c r="BD25">
        <f t="array" ref="BD25">IFERROR(INDEX((FTT),SMALL(IF($BB25=((c_Date)),ROW(FTT)-1,""),COLUMNS($BC25:BD25))),"")</f>
        <v>0</v>
      </c>
      <c r="BE25">
        <f t="array" ref="BE25">IFERROR(INDEX((FTT),SMALL(IF($BB25=((c_Date)),ROW(FTT)-1,""),COLUMNS($BC25:BE25))),"")</f>
        <v>0</v>
      </c>
    </row>
    <row r="26" spans="55:78" x14ac:dyDescent="0.25">
      <c r="BC26">
        <f t="array" ref="BC26">IFERROR(INDEX((FTT),SMALL(IF($BB26=((c_Date)),ROW(FTT)-1,""),COLUMNS($BC26:BC26))),"")</f>
        <v>0</v>
      </c>
      <c r="BD26">
        <f t="array" ref="BD26">IFERROR(INDEX((FTT),SMALL(IF($BB26=((c_Date)),ROW(FTT)-1,""),COLUMNS($BC26:BD26))),"")</f>
        <v>0</v>
      </c>
      <c r="BE26">
        <f t="array" ref="BE26">IFERROR(INDEX((FTT),SMALL(IF($BB26=((c_Date)),ROW(FTT)-1,""),COLUMNS($BC26:BE26))),"")</f>
        <v>0</v>
      </c>
    </row>
    <row r="27" spans="55:78" x14ac:dyDescent="0.25">
      <c r="BC27">
        <f t="array" ref="BC27">IFERROR(INDEX((FTT),SMALL(IF($BB27=((c_Date)),ROW(FTT)-1,""),COLUMNS($BC27:BC27))),"")</f>
        <v>0</v>
      </c>
      <c r="BD27">
        <f t="array" ref="BD27">IFERROR(INDEX((FTT),SMALL(IF($BB27=((c_Date)),ROW(FTT)-1,""),COLUMNS($BC27:BD27))),"")</f>
        <v>0</v>
      </c>
      <c r="BE27">
        <f t="array" ref="BE27">IFERROR(INDEX((FTT),SMALL(IF($BB27=((c_Date)),ROW(FTT)-1,""),COLUMNS($BC27:BE27))),"")</f>
        <v>0</v>
      </c>
    </row>
    <row r="28" spans="55:78" x14ac:dyDescent="0.25">
      <c r="BC28">
        <f t="array" ref="BC28">IFERROR(INDEX((FTT),SMALL(IF($BB28=((c_Date)),ROW(FTT)-1,""),COLUMNS($BC28:BC28))),"")</f>
        <v>0</v>
      </c>
      <c r="BD28">
        <f t="array" ref="BD28">IFERROR(INDEX((FTT),SMALL(IF($BB28=((c_Date)),ROW(FTT)-1,""),COLUMNS($BC28:BD28))),"")</f>
        <v>0</v>
      </c>
      <c r="BE28">
        <f t="array" ref="BE28">IFERROR(INDEX((FTT),SMALL(IF($BB28=((c_Date)),ROW(FTT)-1,""),COLUMNS($BC28:BE28))),"")</f>
        <v>0</v>
      </c>
    </row>
    <row r="29" spans="55:78" x14ac:dyDescent="0.25">
      <c r="BC29">
        <f t="array" ref="BC29">IFERROR(INDEX((FTT),SMALL(IF($BB29=((c_Date)),ROW(FTT)-1,""),COLUMNS($BC29:BC29))),"")</f>
        <v>0</v>
      </c>
      <c r="BD29">
        <f t="array" ref="BD29">IFERROR(INDEX((FTT),SMALL(IF($BB29=((c_Date)),ROW(FTT)-1,""),COLUMNS($BC29:BD29))),"")</f>
        <v>0</v>
      </c>
      <c r="BE29">
        <f t="array" ref="BE29">IFERROR(INDEX((FTT),SMALL(IF($BB29=((c_Date)),ROW(FTT)-1,""),COLUMNS($BC29:BE29))),"")</f>
        <v>0</v>
      </c>
    </row>
    <row r="30" spans="55:78" x14ac:dyDescent="0.25">
      <c r="BC30">
        <f t="array" ref="BC30">IFERROR(INDEX((FTT),SMALL(IF($BB30=((c_Date)),ROW(FTT)-1,""),COLUMNS($BC30:BC30))),"")</f>
        <v>0</v>
      </c>
      <c r="BD30">
        <f t="array" ref="BD30">IFERROR(INDEX((FTT),SMALL(IF($BB30=((c_Date)),ROW(FTT)-1,""),COLUMNS($BC30:BD30))),"")</f>
        <v>0</v>
      </c>
      <c r="BE30">
        <f t="array" ref="BE30">IFERROR(INDEX((FTT),SMALL(IF($BB30=((c_Date)),ROW(FTT)-1,""),COLUMNS($BC30:BE30))),"")</f>
        <v>0</v>
      </c>
    </row>
    <row r="31" spans="55:78" x14ac:dyDescent="0.25">
      <c r="BC31">
        <f t="array" ref="BC31">IFERROR(INDEX((FTT),SMALL(IF($BB31=((c_Date)),ROW(FTT)-1,""),COLUMNS($BC31:BC31))),"")</f>
        <v>0</v>
      </c>
      <c r="BD31">
        <f t="array" ref="BD31">IFERROR(INDEX((FTT),SMALL(IF($BB31=((c_Date)),ROW(FTT)-1,""),COLUMNS($BC31:BD31))),"")</f>
        <v>0</v>
      </c>
      <c r="BE31">
        <f t="array" ref="BE31">IFERROR(INDEX((FTT),SMALL(IF($BB31=((c_Date)),ROW(FTT)-1,""),COLUMNS($BC31:BE31))),"")</f>
        <v>0</v>
      </c>
    </row>
    <row r="32" spans="55:78" x14ac:dyDescent="0.25">
      <c r="BC32">
        <f t="array" ref="BC32">IFERROR(INDEX((FTT),SMALL(IF($BB32=((c_Date)),ROW(FTT)-1,""),COLUMNS($BC32:BC32))),"")</f>
        <v>0</v>
      </c>
      <c r="BD32">
        <f t="array" ref="BD32">IFERROR(INDEX((FTT),SMALL(IF($BB32=((c_Date)),ROW(FTT)-1,""),COLUMNS($BC32:BD32))),"")</f>
        <v>0</v>
      </c>
      <c r="BE32">
        <f t="array" ref="BE32">IFERROR(INDEX((FTT),SMALL(IF($BB32=((c_Date)),ROW(FTT)-1,""),COLUMNS($BC32:BE32))),"")</f>
        <v>0</v>
      </c>
    </row>
    <row r="33" spans="55:57" x14ac:dyDescent="0.25">
      <c r="BC33">
        <f t="array" ref="BC33">IFERROR(INDEX((FTT),SMALL(IF($BB33=((c_Date)),ROW(FTT)-1,""),COLUMNS($BC33:BC33))),"")</f>
        <v>0</v>
      </c>
      <c r="BD33">
        <f t="array" ref="BD33">IFERROR(INDEX((FTT),SMALL(IF($BB33=((c_Date)),ROW(FTT)-1,""),COLUMNS($BC33:BD33))),"")</f>
        <v>0</v>
      </c>
      <c r="BE33">
        <f t="array" ref="BE33">IFERROR(INDEX((FTT),SMALL(IF($BB33=((c_Date)),ROW(FTT)-1,""),COLUMNS($BC33:BE33))),"")</f>
        <v>0</v>
      </c>
    </row>
    <row r="34" spans="55:57" x14ac:dyDescent="0.25">
      <c r="BC34">
        <f t="array" ref="BC34">IFERROR(INDEX((FTT),SMALL(IF($BB34=((c_Date)),ROW(FTT)-1,""),COLUMNS($BC34:BC34))),"")</f>
        <v>0</v>
      </c>
      <c r="BD34">
        <f t="array" ref="BD34">IFERROR(INDEX((FTT),SMALL(IF($BB34=((c_Date)),ROW(FTT)-1,""),COLUMNS($BC34:BD34))),"")</f>
        <v>0</v>
      </c>
      <c r="BE34">
        <f t="array" ref="BE34">IFERROR(INDEX((FTT),SMALL(IF($BB34=((c_Date)),ROW(FTT)-1,""),COLUMNS($BC34:BE34))),"")</f>
        <v>0</v>
      </c>
    </row>
    <row r="35" spans="55:57" x14ac:dyDescent="0.25">
      <c r="BC35">
        <f t="array" ref="BC35">IFERROR(INDEX((FTT),SMALL(IF($BB35=((c_Date)),ROW(FTT)-1,""),COLUMNS($BC35:BC35))),"")</f>
        <v>0</v>
      </c>
      <c r="BD35">
        <f t="array" ref="BD35">IFERROR(INDEX((FTT),SMALL(IF($BB35=((c_Date)),ROW(FTT)-1,""),COLUMNS($BC35:BD35))),"")</f>
        <v>0</v>
      </c>
      <c r="BE35">
        <f t="array" ref="BE35">IFERROR(INDEX((FTT),SMALL(IF($BB35=((c_Date)),ROW(FTT)-1,""),COLUMNS($BC35:BE35))),"")</f>
        <v>0</v>
      </c>
    </row>
    <row r="36" spans="55:57" x14ac:dyDescent="0.25">
      <c r="BC36">
        <f t="array" ref="BC36">IFERROR(INDEX((FTT),SMALL(IF($BB36=((c_Date)),ROW(FTT)-1,""),COLUMNS($BC36:BC36))),"")</f>
        <v>0</v>
      </c>
      <c r="BD36">
        <f t="array" ref="BD36">IFERROR(INDEX((FTT),SMALL(IF($BB36=((c_Date)),ROW(FTT)-1,""),COLUMNS($BC36:BD36))),"")</f>
        <v>0</v>
      </c>
      <c r="BE36">
        <f t="array" ref="BE36">IFERROR(INDEX((FTT),SMALL(IF($BB36=((c_Date)),ROW(FTT)-1,""),COLUMNS($BC36:BE36))),"")</f>
        <v>0</v>
      </c>
    </row>
    <row r="37" spans="55:57" x14ac:dyDescent="0.25">
      <c r="BC37">
        <f t="array" ref="BC37">IFERROR(INDEX((FTT),SMALL(IF($BB37=((c_Date)),ROW(FTT)-1,""),COLUMNS($BC37:BC37))),"")</f>
        <v>0</v>
      </c>
      <c r="BD37">
        <f t="array" ref="BD37">IFERROR(INDEX((FTT),SMALL(IF($BB37=((c_Date)),ROW(FTT)-1,""),COLUMNS($BC37:BD37))),"")</f>
        <v>0</v>
      </c>
      <c r="BE37">
        <f t="array" ref="BE37">IFERROR(INDEX((FTT),SMALL(IF($BB37=((c_Date)),ROW(FTT)-1,""),COLUMNS($BC37:BE37))),"")</f>
        <v>0</v>
      </c>
    </row>
    <row r="38" spans="55:57" x14ac:dyDescent="0.25">
      <c r="BC38">
        <f t="array" ref="BC38">IFERROR(INDEX((FTT),SMALL(IF($BB38=((c_Date)),ROW(FTT)-1,""),COLUMNS($BC38:BC38))),"")</f>
        <v>0</v>
      </c>
      <c r="BD38">
        <f t="array" ref="BD38">IFERROR(INDEX((FTT),SMALL(IF($BB38=((c_Date)),ROW(FTT)-1,""),COLUMNS($BC38:BD38))),"")</f>
        <v>0</v>
      </c>
      <c r="BE38">
        <f t="array" ref="BE38">IFERROR(INDEX((FTT),SMALL(IF($BB38=((c_Date)),ROW(FTT)-1,""),COLUMNS($BC38:BE38))),"")</f>
        <v>0</v>
      </c>
    </row>
    <row r="39" spans="55:57" x14ac:dyDescent="0.25">
      <c r="BC39">
        <f t="array" ref="BC39">IFERROR(INDEX((FTT),SMALL(IF($BB39=((c_Date)),ROW(FTT)-1,""),COLUMNS($BC39:BC39))),"")</f>
        <v>0</v>
      </c>
      <c r="BD39">
        <f t="array" ref="BD39">IFERROR(INDEX((FTT),SMALL(IF($BB39=((c_Date)),ROW(FTT)-1,""),COLUMNS($BC39:BD39))),"")</f>
        <v>0</v>
      </c>
      <c r="BE39">
        <f t="array" ref="BE39">IFERROR(INDEX((FTT),SMALL(IF($BB39=((c_Date)),ROW(FTT)-1,""),COLUMNS($BC39:BE39))),"")</f>
        <v>0</v>
      </c>
    </row>
    <row r="40" spans="55:57" x14ac:dyDescent="0.25">
      <c r="BC40">
        <f t="array" ref="BC40">IFERROR(INDEX((FTT),SMALL(IF($BB40=((c_Date)),ROW(FTT)-1,""),COLUMNS($BC40:BC40))),"")</f>
        <v>0</v>
      </c>
      <c r="BD40">
        <f t="array" ref="BD40">IFERROR(INDEX((FTT),SMALL(IF($BB40=((c_Date)),ROW(FTT)-1,""),COLUMNS($BC40:BD40))),"")</f>
        <v>0</v>
      </c>
      <c r="BE40">
        <f t="array" ref="BE40">IFERROR(INDEX((FTT),SMALL(IF($BB40=((c_Date)),ROW(FTT)-1,""),COLUMNS($BC40:BE40))),"")</f>
        <v>0</v>
      </c>
    </row>
    <row r="41" spans="55:57" x14ac:dyDescent="0.25">
      <c r="BC41">
        <f t="array" ref="BC41">IFERROR(INDEX((FTT),SMALL(IF($BB41=((c_Date)),ROW(FTT)-1,""),COLUMNS($BC41:BC41))),"")</f>
        <v>0</v>
      </c>
      <c r="BD41">
        <f t="array" ref="BD41">IFERROR(INDEX((FTT),SMALL(IF($BB41=((c_Date)),ROW(FTT)-1,""),COLUMNS($BC41:BD41))),"")</f>
        <v>0</v>
      </c>
      <c r="BE41">
        <f t="array" ref="BE41">IFERROR(INDEX((FTT),SMALL(IF($BB41=((c_Date)),ROW(FTT)-1,""),COLUMNS($BC41:BE41))),"")</f>
        <v>0</v>
      </c>
    </row>
    <row r="42" spans="55:57" x14ac:dyDescent="0.25">
      <c r="BC42">
        <f t="array" ref="BC42">IFERROR(INDEX((FTT),SMALL(IF($BB42=((c_Date)),ROW(FTT)-1,""),COLUMNS($BC42:BC42))),"")</f>
        <v>0</v>
      </c>
      <c r="BD42">
        <f t="array" ref="BD42">IFERROR(INDEX((FTT),SMALL(IF($BB42=((c_Date)),ROW(FTT)-1,""),COLUMNS($BC42:BD42))),"")</f>
        <v>0</v>
      </c>
      <c r="BE42">
        <f t="array" ref="BE42">IFERROR(INDEX((FTT),SMALL(IF($BB42=((c_Date)),ROW(FTT)-1,""),COLUMNS($BC42:BE42))),"")</f>
        <v>0</v>
      </c>
    </row>
    <row r="43" spans="55:57" x14ac:dyDescent="0.25">
      <c r="BC43">
        <f t="array" ref="BC43">IFERROR(INDEX((FTT),SMALL(IF($BB43=((c_Date)),ROW(FTT)-1,""),COLUMNS($BC43:BC43))),"")</f>
        <v>0</v>
      </c>
      <c r="BD43">
        <f t="array" ref="BD43">IFERROR(INDEX((FTT),SMALL(IF($BB43=((c_Date)),ROW(FTT)-1,""),COLUMNS($BC43:BD43))),"")</f>
        <v>0</v>
      </c>
      <c r="BE43">
        <f t="array" ref="BE43">IFERROR(INDEX((FTT),SMALL(IF($BB43=((c_Date)),ROW(FTT)-1,""),COLUMNS($BC43:BE43))),"")</f>
        <v>0</v>
      </c>
    </row>
    <row r="44" spans="55:57" x14ac:dyDescent="0.25">
      <c r="BC44">
        <f t="array" ref="BC44">IFERROR(INDEX((FTT),SMALL(IF($BB44=((c_Date)),ROW(FTT)-1,""),COLUMNS($BC44:BC44))),"")</f>
        <v>0</v>
      </c>
      <c r="BD44">
        <f t="array" ref="BD44">IFERROR(INDEX((FTT),SMALL(IF($BB44=((c_Date)),ROW(FTT)-1,""),COLUMNS($BC44:BD44))),"")</f>
        <v>0</v>
      </c>
      <c r="BE44">
        <f t="array" ref="BE44">IFERROR(INDEX((FTT),SMALL(IF($BB44=((c_Date)),ROW(FTT)-1,""),COLUMNS($BC44:BE44))),"")</f>
        <v>0</v>
      </c>
    </row>
    <row r="45" spans="55:57" x14ac:dyDescent="0.25">
      <c r="BC45">
        <f t="array" ref="BC45">IFERROR(INDEX((FTT),SMALL(IF($BB45=((c_Date)),ROW(FTT)-1,""),COLUMNS($BC45:BC45))),"")</f>
        <v>0</v>
      </c>
      <c r="BD45">
        <f t="array" ref="BD45">IFERROR(INDEX((FTT),SMALL(IF($BB45=((c_Date)),ROW(FTT)-1,""),COLUMNS($BC45:BD45))),"")</f>
        <v>0</v>
      </c>
      <c r="BE45">
        <f t="array" ref="BE45">IFERROR(INDEX((FTT),SMALL(IF($BB45=((c_Date)),ROW(FTT)-1,""),COLUMNS($BC45:BE45))),"")</f>
        <v>0</v>
      </c>
    </row>
    <row r="46" spans="55:57" x14ac:dyDescent="0.25">
      <c r="BC46">
        <f t="array" ref="BC46">IFERROR(INDEX((FTT),SMALL(IF($BB46=((c_Date)),ROW(FTT)-1,""),COLUMNS($BC46:BC46))),"")</f>
        <v>0</v>
      </c>
      <c r="BD46">
        <f t="array" ref="BD46">IFERROR(INDEX((FTT),SMALL(IF($BB46=((c_Date)),ROW(FTT)-1,""),COLUMNS($BC46:BD46))),"")</f>
        <v>0</v>
      </c>
      <c r="BE46">
        <f t="array" ref="BE46">IFERROR(INDEX((FTT),SMALL(IF($BB46=((c_Date)),ROW(FTT)-1,""),COLUMNS($BC46:BE46))),"")</f>
        <v>0</v>
      </c>
    </row>
    <row r="47" spans="55:57" x14ac:dyDescent="0.25">
      <c r="BC47">
        <f t="array" ref="BC47">IFERROR(INDEX((FTT),SMALL(IF($BB47=((c_Date)),ROW(FTT)-1,""),COLUMNS($BC47:BC47))),"")</f>
        <v>0</v>
      </c>
      <c r="BD47">
        <f t="array" ref="BD47">IFERROR(INDEX((FTT),SMALL(IF($BB47=((c_Date)),ROW(FTT)-1,""),COLUMNS($BC47:BD47))),"")</f>
        <v>0</v>
      </c>
      <c r="BE47">
        <f t="array" ref="BE47">IFERROR(INDEX((FTT),SMALL(IF($BB47=((c_Date)),ROW(FTT)-1,""),COLUMNS($BC47:BE47))),"")</f>
        <v>0</v>
      </c>
    </row>
    <row r="48" spans="55:57" x14ac:dyDescent="0.25">
      <c r="BC48">
        <f t="array" ref="BC48">IFERROR(INDEX((FTT),SMALL(IF($BB48=((c_Date)),ROW(FTT)-1,""),COLUMNS($BC48:BC48))),"")</f>
        <v>0</v>
      </c>
      <c r="BD48">
        <f t="array" ref="BD48">IFERROR(INDEX((FTT),SMALL(IF($BB48=((c_Date)),ROW(FTT)-1,""),COLUMNS($BC48:BD48))),"")</f>
        <v>0</v>
      </c>
      <c r="BE48">
        <f t="array" ref="BE48">IFERROR(INDEX((FTT),SMALL(IF($BB48=((c_Date)),ROW(FTT)-1,""),COLUMNS($BC48:BE48))),"")</f>
        <v>0</v>
      </c>
    </row>
    <row r="49" spans="55:57" x14ac:dyDescent="0.25">
      <c r="BC49">
        <f t="array" ref="BC49">IFERROR(INDEX((FTT),SMALL(IF($BB49=((c_Date)),ROW(FTT)-1,""),COLUMNS($BC49:BC49))),"")</f>
        <v>0</v>
      </c>
      <c r="BD49">
        <f t="array" ref="BD49">IFERROR(INDEX((FTT),SMALL(IF($BB49=((c_Date)),ROW(FTT)-1,""),COLUMNS($BC49:BD49))),"")</f>
        <v>0</v>
      </c>
      <c r="BE49">
        <f t="array" ref="BE49">IFERROR(INDEX((FTT),SMALL(IF($BB49=((c_Date)),ROW(FTT)-1,""),COLUMNS($BC49:BE49))),"")</f>
        <v>0</v>
      </c>
    </row>
    <row r="50" spans="55:57" x14ac:dyDescent="0.25">
      <c r="BC50">
        <f t="array" ref="BC50">IFERROR(INDEX((FTT),SMALL(IF($BB50=((c_Date)),ROW(FTT)-1,""),COLUMNS($BC50:BC50))),"")</f>
        <v>0</v>
      </c>
      <c r="BD50">
        <f t="array" ref="BD50">IFERROR(INDEX((FTT),SMALL(IF($BB50=((c_Date)),ROW(FTT)-1,""),COLUMNS($BC50:BD50))),"")</f>
        <v>0</v>
      </c>
      <c r="BE50">
        <f t="array" ref="BE50">IFERROR(INDEX((FTT),SMALL(IF($BB50=((c_Date)),ROW(FTT)-1,""),COLUMNS($BC50:BE50))),"")</f>
        <v>0</v>
      </c>
    </row>
    <row r="51" spans="55:57" x14ac:dyDescent="0.25">
      <c r="BC51">
        <f t="array" ref="BC51">IFERROR(INDEX((FTT),SMALL(IF($BB51=((c_Date)),ROW(FTT)-1,""),COLUMNS($BC51:BC51))),"")</f>
        <v>0</v>
      </c>
      <c r="BD51">
        <f t="array" ref="BD51">IFERROR(INDEX((FTT),SMALL(IF($BB51=((c_Date)),ROW(FTT)-1,""),COLUMNS($BC51:BD51))),"")</f>
        <v>0</v>
      </c>
      <c r="BE51">
        <f t="array" ref="BE51">IFERROR(INDEX((FTT),SMALL(IF($BB51=((c_Date)),ROW(FTT)-1,""),COLUMNS($BC51:BE51))),"")</f>
        <v>0</v>
      </c>
    </row>
    <row r="52" spans="55:57" x14ac:dyDescent="0.25">
      <c r="BC52">
        <f t="array" ref="BC52">IFERROR(INDEX((FTT),SMALL(IF($BB52=((c_Date)),ROW(FTT)-1,""),COLUMNS($BC52:BC52))),"")</f>
        <v>0</v>
      </c>
      <c r="BD52">
        <f t="array" ref="BD52">IFERROR(INDEX((FTT),SMALL(IF($BB52=((c_Date)),ROW(FTT)-1,""),COLUMNS($BC52:BD52))),"")</f>
        <v>0</v>
      </c>
      <c r="BE52">
        <f t="array" ref="BE52">IFERROR(INDEX((FTT),SMALL(IF($BB52=((c_Date)),ROW(FTT)-1,""),COLUMNS($BC52:BE52))),"")</f>
        <v>0</v>
      </c>
    </row>
    <row r="53" spans="55:57" x14ac:dyDescent="0.25">
      <c r="BC53">
        <f t="array" ref="BC53">IFERROR(INDEX((FTT),SMALL(IF($BB53=((c_Date)),ROW(FTT)-1,""),COLUMNS($BC53:BC53))),"")</f>
        <v>0</v>
      </c>
      <c r="BD53">
        <f t="array" ref="BD53">IFERROR(INDEX((FTT),SMALL(IF($BB53=((c_Date)),ROW(FTT)-1,""),COLUMNS($BC53:BD53))),"")</f>
        <v>0</v>
      </c>
      <c r="BE53">
        <f t="array" ref="BE53">IFERROR(INDEX((FTT),SMALL(IF($BB53=((c_Date)),ROW(FTT)-1,""),COLUMNS($BC53:BE53))),"")</f>
        <v>0</v>
      </c>
    </row>
    <row r="54" spans="55:57" x14ac:dyDescent="0.25">
      <c r="BC54">
        <f t="array" ref="BC54">IFERROR(INDEX((FTT),SMALL(IF($BB54=((c_Date)),ROW(FTT)-1,""),COLUMNS($BC54:BC54))),"")</f>
        <v>0</v>
      </c>
      <c r="BD54">
        <f t="array" ref="BD54">IFERROR(INDEX((FTT),SMALL(IF($BB54=((c_Date)),ROW(FTT)-1,""),COLUMNS($BC54:BD54))),"")</f>
        <v>0</v>
      </c>
      <c r="BE54">
        <f t="array" ref="BE54">IFERROR(INDEX((FTT),SMALL(IF($BB54=((c_Date)),ROW(FTT)-1,""),COLUMNS($BC54:BE54))),"")</f>
        <v>0</v>
      </c>
    </row>
    <row r="55" spans="55:57" x14ac:dyDescent="0.25">
      <c r="BC55">
        <f t="array" ref="BC55">IFERROR(INDEX((FTT),SMALL(IF($BB55=((c_Date)),ROW(FTT)-1,""),COLUMNS($BC55:BC55))),"")</f>
        <v>0</v>
      </c>
      <c r="BD55">
        <f t="array" ref="BD55">IFERROR(INDEX((FTT),SMALL(IF($BB55=((c_Date)),ROW(FTT)-1,""),COLUMNS($BC55:BD55))),"")</f>
        <v>0</v>
      </c>
      <c r="BE55">
        <f t="array" ref="BE55">IFERROR(INDEX((FTT),SMALL(IF($BB55=((c_Date)),ROW(FTT)-1,""),COLUMNS($BC55:BE55))),"")</f>
        <v>0</v>
      </c>
    </row>
    <row r="56" spans="55:57" x14ac:dyDescent="0.25">
      <c r="BC56">
        <f t="array" ref="BC56">IFERROR(INDEX((FTT),SMALL(IF($BB56=((c_Date)),ROW(FTT)-1,""),COLUMNS($BC56:BC56))),"")</f>
        <v>0</v>
      </c>
      <c r="BD56">
        <f t="array" ref="BD56">IFERROR(INDEX((FTT),SMALL(IF($BB56=((c_Date)),ROW(FTT)-1,""),COLUMNS($BC56:BD56))),"")</f>
        <v>0</v>
      </c>
      <c r="BE56">
        <f t="array" ref="BE56">IFERROR(INDEX((FTT),SMALL(IF($BB56=((c_Date)),ROW(FTT)-1,""),COLUMNS($BC56:BE56))),"")</f>
        <v>0</v>
      </c>
    </row>
    <row r="57" spans="55:57" x14ac:dyDescent="0.25">
      <c r="BC57">
        <f t="array" ref="BC57">IFERROR(INDEX((FTT),SMALL(IF($BB57=((c_Date)),ROW(FTT)-1,""),COLUMNS($BC57:BC57))),"")</f>
        <v>0</v>
      </c>
      <c r="BD57">
        <f t="array" ref="BD57">IFERROR(INDEX((FTT),SMALL(IF($BB57=((c_Date)),ROW(FTT)-1,""),COLUMNS($BC57:BD57))),"")</f>
        <v>0</v>
      </c>
      <c r="BE57">
        <f t="array" ref="BE57">IFERROR(INDEX((FTT),SMALL(IF($BB57=((c_Date)),ROW(FTT)-1,""),COLUMNS($BC57:BE57))),"")</f>
        <v>0</v>
      </c>
    </row>
    <row r="58" spans="55:57" x14ac:dyDescent="0.25">
      <c r="BC58">
        <f t="array" ref="BC58">IFERROR(INDEX((FTT),SMALL(IF($BB58=((c_Date)),ROW(FTT)-1,""),COLUMNS($BC58:BC58))),"")</f>
        <v>0</v>
      </c>
      <c r="BD58">
        <f t="array" ref="BD58">IFERROR(INDEX((FTT),SMALL(IF($BB58=((c_Date)),ROW(FTT)-1,""),COLUMNS($BC58:BD58))),"")</f>
        <v>0</v>
      </c>
      <c r="BE58">
        <f t="array" ref="BE58">IFERROR(INDEX((FTT),SMALL(IF($BB58=((c_Date)),ROW(FTT)-1,""),COLUMNS($BC58:BE58))),"")</f>
        <v>0</v>
      </c>
    </row>
    <row r="59" spans="55:57" x14ac:dyDescent="0.25">
      <c r="BC59">
        <f t="array" ref="BC59">IFERROR(INDEX((FTT),SMALL(IF($BB59=((c_Date)),ROW(FTT)-1,""),COLUMNS($BC59:BC59))),"")</f>
        <v>0</v>
      </c>
      <c r="BD59">
        <f t="array" ref="BD59">IFERROR(INDEX((FTT),SMALL(IF($BB59=((c_Date)),ROW(FTT)-1,""),COLUMNS($BC59:BD59))),"")</f>
        <v>0</v>
      </c>
      <c r="BE59">
        <f t="array" ref="BE59">IFERROR(INDEX((FTT),SMALL(IF($BB59=((c_Date)),ROW(FTT)-1,""),COLUMNS($BC59:BE59))),"")</f>
        <v>0</v>
      </c>
    </row>
    <row r="60" spans="55:57" x14ac:dyDescent="0.25">
      <c r="BC60">
        <f t="array" ref="BC60">IFERROR(INDEX((FTT),SMALL(IF($BB60=((c_Date)),ROW(FTT)-1,""),COLUMNS($BC60:BC60))),"")</f>
        <v>0</v>
      </c>
      <c r="BD60">
        <f t="array" ref="BD60">IFERROR(INDEX((FTT),SMALL(IF($BB60=((c_Date)),ROW(FTT)-1,""),COLUMNS($BC60:BD60))),"")</f>
        <v>0</v>
      </c>
      <c r="BE60">
        <f t="array" ref="BE60">IFERROR(INDEX((FTT),SMALL(IF($BB60=((c_Date)),ROW(FTT)-1,""),COLUMNS($BC60:BE60))),"")</f>
        <v>0</v>
      </c>
    </row>
    <row r="61" spans="55:57" x14ac:dyDescent="0.25">
      <c r="BC61">
        <f t="array" ref="BC61">IFERROR(INDEX((FTT),SMALL(IF($BB61=((c_Date)),ROW(FTT)-1,""),COLUMNS($BC61:BC61))),"")</f>
        <v>0</v>
      </c>
      <c r="BD61">
        <f t="array" ref="BD61">IFERROR(INDEX((FTT),SMALL(IF($BB61=((c_Date)),ROW(FTT)-1,""),COLUMNS($BC61:BD61))),"")</f>
        <v>0</v>
      </c>
      <c r="BE61">
        <f t="array" ref="BE61">IFERROR(INDEX((FTT),SMALL(IF($BB61=((c_Date)),ROW(FTT)-1,""),COLUMNS($BC61:BE61))),"")</f>
        <v>0</v>
      </c>
    </row>
    <row r="62" spans="55:57" x14ac:dyDescent="0.25">
      <c r="BC62">
        <f t="array" ref="BC62">IFERROR(INDEX((FTT),SMALL(IF($BB62=((c_Date)),ROW(FTT)-1,""),COLUMNS($BC62:BC62))),"")</f>
        <v>0</v>
      </c>
      <c r="BD62">
        <f t="array" ref="BD62">IFERROR(INDEX((FTT),SMALL(IF($BB62=((c_Date)),ROW(FTT)-1,""),COLUMNS($BC62:BD62))),"")</f>
        <v>0</v>
      </c>
      <c r="BE62">
        <f t="array" ref="BE62">IFERROR(INDEX((FTT),SMALL(IF($BB62=((c_Date)),ROW(FTT)-1,""),COLUMNS($BC62:BE62))),"")</f>
        <v>0</v>
      </c>
    </row>
    <row r="63" spans="55:57" x14ac:dyDescent="0.25">
      <c r="BC63">
        <f t="array" ref="BC63">IFERROR(INDEX((FTT),SMALL(IF($BB63=((c_Date)),ROW(FTT)-1,""),COLUMNS($BC63:BC63))),"")</f>
        <v>0</v>
      </c>
      <c r="BD63">
        <f t="array" ref="BD63">IFERROR(INDEX((FTT),SMALL(IF($BB63=((c_Date)),ROW(FTT)-1,""),COLUMNS($BC63:BD63))),"")</f>
        <v>0</v>
      </c>
      <c r="BE63">
        <f t="array" ref="BE63">IFERROR(INDEX((FTT),SMALL(IF($BB63=((c_Date)),ROW(FTT)-1,""),COLUMNS($BC63:BE63))),"")</f>
        <v>0</v>
      </c>
    </row>
    <row r="64" spans="55:57" x14ac:dyDescent="0.25">
      <c r="BC64">
        <f t="array" ref="BC64">IFERROR(INDEX((FTT),SMALL(IF($BB64=((c_Date)),ROW(FTT)-1,""),COLUMNS($BC64:BC64))),"")</f>
        <v>0</v>
      </c>
      <c r="BD64">
        <f t="array" ref="BD64">IFERROR(INDEX((FTT),SMALL(IF($BB64=((c_Date)),ROW(FTT)-1,""),COLUMNS($BC64:BD64))),"")</f>
        <v>0</v>
      </c>
      <c r="BE64">
        <f t="array" ref="BE64">IFERROR(INDEX((FTT),SMALL(IF($BB64=((c_Date)),ROW(FTT)-1,""),COLUMNS($BC64:BE64))),"")</f>
        <v>0</v>
      </c>
    </row>
    <row r="65" spans="55:57" x14ac:dyDescent="0.25">
      <c r="BC65">
        <f t="array" ref="BC65">IFERROR(INDEX((FTT),SMALL(IF($BB65=((c_Date)),ROW(FTT)-1,""),COLUMNS($BC65:BC65))),"")</f>
        <v>0</v>
      </c>
      <c r="BD65">
        <f t="array" ref="BD65">IFERROR(INDEX((FTT),SMALL(IF($BB65=((c_Date)),ROW(FTT)-1,""),COLUMNS($BC65:BD65))),"")</f>
        <v>0</v>
      </c>
      <c r="BE65">
        <f t="array" ref="BE65">IFERROR(INDEX((FTT),SMALL(IF($BB65=((c_Date)),ROW(FTT)-1,""),COLUMNS($BC65:BE65))),"")</f>
        <v>0</v>
      </c>
    </row>
    <row r="66" spans="55:57" x14ac:dyDescent="0.25">
      <c r="BC66">
        <f t="array" ref="BC66">IFERROR(INDEX((FTT),SMALL(IF($BB66=((c_Date)),ROW(FTT)-1,""),COLUMNS($BC66:BC66))),"")</f>
        <v>0</v>
      </c>
      <c r="BD66">
        <f t="array" ref="BD66">IFERROR(INDEX((FTT),SMALL(IF($BB66=((c_Date)),ROW(FTT)-1,""),COLUMNS($BC66:BD66))),"")</f>
        <v>0</v>
      </c>
      <c r="BE66">
        <f t="array" ref="BE66">IFERROR(INDEX((FTT),SMALL(IF($BB66=((c_Date)),ROW(FTT)-1,""),COLUMNS($BC66:BE66))),"")</f>
        <v>0</v>
      </c>
    </row>
    <row r="67" spans="55:57" x14ac:dyDescent="0.25">
      <c r="BC67">
        <f t="array" ref="BC67">IFERROR(INDEX((FTT),SMALL(IF($BB67=((c_Date)),ROW(FTT)-1,""),COLUMNS($BC67:BC67))),"")</f>
        <v>0</v>
      </c>
      <c r="BD67">
        <f t="array" ref="BD67">IFERROR(INDEX((FTT),SMALL(IF($BB67=((c_Date)),ROW(FTT)-1,""),COLUMNS($BC67:BD67))),"")</f>
        <v>0</v>
      </c>
      <c r="BE67">
        <f t="array" ref="BE67">IFERROR(INDEX((FTT),SMALL(IF($BB67=((c_Date)),ROW(FTT)-1,""),COLUMNS($BC67:BE67))),"")</f>
        <v>0</v>
      </c>
    </row>
    <row r="68" spans="55:57" x14ac:dyDescent="0.25">
      <c r="BC68">
        <f t="array" ref="BC68">IFERROR(INDEX((FTT),SMALL(IF($BB68=((c_Date)),ROW(FTT)-1,""),COLUMNS($BC68:BC68))),"")</f>
        <v>0</v>
      </c>
      <c r="BD68">
        <f t="array" ref="BD68">IFERROR(INDEX((FTT),SMALL(IF($BB68=((c_Date)),ROW(FTT)-1,""),COLUMNS($BC68:BD68))),"")</f>
        <v>0</v>
      </c>
      <c r="BE68">
        <f t="array" ref="BE68">IFERROR(INDEX((FTT),SMALL(IF($BB68=((c_Date)),ROW(FTT)-1,""),COLUMNS($BC68:BE68))),"")</f>
        <v>0</v>
      </c>
    </row>
    <row r="69" spans="55:57" x14ac:dyDescent="0.25">
      <c r="BC69">
        <f t="array" ref="BC69">IFERROR(INDEX((FTT),SMALL(IF($BB69=((c_Date)),ROW(FTT)-1,""),COLUMNS($BC69:BC69))),"")</f>
        <v>0</v>
      </c>
      <c r="BD69">
        <f t="array" ref="BD69">IFERROR(INDEX((FTT),SMALL(IF($BB69=((c_Date)),ROW(FTT)-1,""),COLUMNS($BC69:BD69))),"")</f>
        <v>0</v>
      </c>
      <c r="BE69">
        <f t="array" ref="BE69">IFERROR(INDEX((FTT),SMALL(IF($BB69=((c_Date)),ROW(FTT)-1,""),COLUMNS($BC69:BE69))),"")</f>
        <v>0</v>
      </c>
    </row>
    <row r="70" spans="55:57" x14ac:dyDescent="0.25">
      <c r="BC70">
        <f t="array" ref="BC70">IFERROR(INDEX((FTT),SMALL(IF($BB70=((c_Date)),ROW(FTT)-1,""),COLUMNS($BC70:BC70))),"")</f>
        <v>0</v>
      </c>
      <c r="BD70">
        <f t="array" ref="BD70">IFERROR(INDEX((FTT),SMALL(IF($BB70=((c_Date)),ROW(FTT)-1,""),COLUMNS($BC70:BD70))),"")</f>
        <v>0</v>
      </c>
      <c r="BE70">
        <f t="array" ref="BE70">IFERROR(INDEX((FTT),SMALL(IF($BB70=((c_Date)),ROW(FTT)-1,""),COLUMNS($BC70:BE70))),"")</f>
        <v>0</v>
      </c>
    </row>
    <row r="71" spans="55:57" x14ac:dyDescent="0.25">
      <c r="BC71">
        <f t="array" ref="BC71">IFERROR(INDEX((FTT),SMALL(IF($BB71=((c_Date)),ROW(FTT)-1,""),COLUMNS($BC71:BC71))),"")</f>
        <v>0</v>
      </c>
      <c r="BD71">
        <f t="array" ref="BD71">IFERROR(INDEX((FTT),SMALL(IF($BB71=((c_Date)),ROW(FTT)-1,""),COLUMNS($BC71:BD71))),"")</f>
        <v>0</v>
      </c>
      <c r="BE71">
        <f t="array" ref="BE71">IFERROR(INDEX((FTT),SMALL(IF($BB71=((c_Date)),ROW(FTT)-1,""),COLUMNS($BC71:BE71))),"")</f>
        <v>0</v>
      </c>
    </row>
    <row r="72" spans="55:57" x14ac:dyDescent="0.25">
      <c r="BC72">
        <f t="array" ref="BC72">IFERROR(INDEX((FTT),SMALL(IF($BB72=((c_Date)),ROW(FTT)-1,""),COLUMNS($BC72:BC72))),"")</f>
        <v>0</v>
      </c>
      <c r="BD72">
        <f t="array" ref="BD72">IFERROR(INDEX((FTT),SMALL(IF($BB72=((c_Date)),ROW(FTT)-1,""),COLUMNS($BC72:BD72))),"")</f>
        <v>0</v>
      </c>
      <c r="BE72">
        <f t="array" ref="BE72">IFERROR(INDEX((FTT),SMALL(IF($BB72=((c_Date)),ROW(FTT)-1,""),COLUMNS($BC72:BE72))),"")</f>
        <v>0</v>
      </c>
    </row>
    <row r="73" spans="55:57" x14ac:dyDescent="0.25">
      <c r="BC73">
        <f t="array" ref="BC73">IFERROR(INDEX((FTT),SMALL(IF($BB73=((c_Date)),ROW(FTT)-1,""),COLUMNS($BC73:BC73))),"")</f>
        <v>0</v>
      </c>
      <c r="BD73">
        <f t="array" ref="BD73">IFERROR(INDEX((FTT),SMALL(IF($BB73=((c_Date)),ROW(FTT)-1,""),COLUMNS($BC73:BD73))),"")</f>
        <v>0</v>
      </c>
      <c r="BE73">
        <f t="array" ref="BE73">IFERROR(INDEX((FTT),SMALL(IF($BB73=((c_Date)),ROW(FTT)-1,""),COLUMNS($BC73:BE73))),"")</f>
        <v>0</v>
      </c>
    </row>
    <row r="74" spans="55:57" x14ac:dyDescent="0.25">
      <c r="BC74">
        <f t="array" ref="BC74">IFERROR(INDEX((FTT),SMALL(IF($BB74=((c_Date)),ROW(FTT)-1,""),COLUMNS($BC74:BC74))),"")</f>
        <v>0</v>
      </c>
      <c r="BD74">
        <f t="array" ref="BD74">IFERROR(INDEX((FTT),SMALL(IF($BB74=((c_Date)),ROW(FTT)-1,""),COLUMNS($BC74:BD74))),"")</f>
        <v>0</v>
      </c>
      <c r="BE74">
        <f t="array" ref="BE74">IFERROR(INDEX((FTT),SMALL(IF($BB74=((c_Date)),ROW(FTT)-1,""),COLUMNS($BC74:BE74))),"")</f>
        <v>0</v>
      </c>
    </row>
    <row r="75" spans="55:57" x14ac:dyDescent="0.25">
      <c r="BC75">
        <f t="array" ref="BC75">IFERROR(INDEX((FTT),SMALL(IF($BB75=((c_Date)),ROW(FTT)-1,""),COLUMNS($BC75:BC75))),"")</f>
        <v>0</v>
      </c>
      <c r="BD75">
        <f t="array" ref="BD75">IFERROR(INDEX((FTT),SMALL(IF($BB75=((c_Date)),ROW(FTT)-1,""),COLUMNS($BC75:BD75))),"")</f>
        <v>0</v>
      </c>
      <c r="BE75">
        <f t="array" ref="BE75">IFERROR(INDEX((FTT),SMALL(IF($BB75=((c_Date)),ROW(FTT)-1,""),COLUMNS($BC75:BE75))),"")</f>
        <v>0</v>
      </c>
    </row>
    <row r="76" spans="55:57" x14ac:dyDescent="0.25">
      <c r="BC76">
        <f t="array" ref="BC76">IFERROR(INDEX((FTT),SMALL(IF($BB76=((c_Date)),ROW(FTT)-1,""),COLUMNS($BC76:BC76))),"")</f>
        <v>0</v>
      </c>
      <c r="BD76">
        <f t="array" ref="BD76">IFERROR(INDEX((FTT),SMALL(IF($BB76=((c_Date)),ROW(FTT)-1,""),COLUMNS($BC76:BD76))),"")</f>
        <v>0</v>
      </c>
      <c r="BE76">
        <f t="array" ref="BE76">IFERROR(INDEX((FTT),SMALL(IF($BB76=((c_Date)),ROW(FTT)-1,""),COLUMNS($BC76:BE76))),"")</f>
        <v>0</v>
      </c>
    </row>
    <row r="77" spans="55:57" x14ac:dyDescent="0.25">
      <c r="BC77">
        <f t="array" ref="BC77">IFERROR(INDEX((FTT),SMALL(IF($BB77=((c_Date)),ROW(FTT)-1,""),COLUMNS($BC77:BC77))),"")</f>
        <v>0</v>
      </c>
      <c r="BD77">
        <f t="array" ref="BD77">IFERROR(INDEX((FTT),SMALL(IF($BB77=((c_Date)),ROW(FTT)-1,""),COLUMNS($BC77:BD77))),"")</f>
        <v>0</v>
      </c>
      <c r="BE77">
        <f t="array" ref="BE77">IFERROR(INDEX((FTT),SMALL(IF($BB77=((c_Date)),ROW(FTT)-1,""),COLUMNS($BC77:BE77))),"")</f>
        <v>0</v>
      </c>
    </row>
    <row r="78" spans="55:57" x14ac:dyDescent="0.25">
      <c r="BC78">
        <f t="array" ref="BC78">IFERROR(INDEX((FTT),SMALL(IF($BB78=((c_Date)),ROW(FTT)-1,""),COLUMNS($BC78:BC78))),"")</f>
        <v>0</v>
      </c>
      <c r="BD78">
        <f t="array" ref="BD78">IFERROR(INDEX((FTT),SMALL(IF($BB78=((c_Date)),ROW(FTT)-1,""),COLUMNS($BC78:BD78))),"")</f>
        <v>0</v>
      </c>
      <c r="BE78">
        <f t="array" ref="BE78">IFERROR(INDEX((FTT),SMALL(IF($BB78=((c_Date)),ROW(FTT)-1,""),COLUMNS($BC78:BE78))),"")</f>
        <v>0</v>
      </c>
    </row>
    <row r="79" spans="55:57" x14ac:dyDescent="0.25">
      <c r="BC79">
        <f t="array" ref="BC79">IFERROR(INDEX((FTT),SMALL(IF($BB79=((c_Date)),ROW(FTT)-1,""),COLUMNS($BC79:BC79))),"")</f>
        <v>0</v>
      </c>
      <c r="BD79">
        <f t="array" ref="BD79">IFERROR(INDEX((FTT),SMALL(IF($BB79=((c_Date)),ROW(FTT)-1,""),COLUMNS($BC79:BD79))),"")</f>
        <v>0</v>
      </c>
      <c r="BE79">
        <f t="array" ref="BE79">IFERROR(INDEX((FTT),SMALL(IF($BB79=((c_Date)),ROW(FTT)-1,""),COLUMNS($BC79:BE79))),"")</f>
        <v>0</v>
      </c>
    </row>
    <row r="80" spans="55:57" x14ac:dyDescent="0.25">
      <c r="BC80">
        <f t="array" ref="BC80">IFERROR(INDEX((FTT),SMALL(IF($BB80=((c_Date)),ROW(FTT)-1,""),COLUMNS($BC80:BC80))),"")</f>
        <v>0</v>
      </c>
      <c r="BD80">
        <f t="array" ref="BD80">IFERROR(INDEX((FTT),SMALL(IF($BB80=((c_Date)),ROW(FTT)-1,""),COLUMNS($BC80:BD80))),"")</f>
        <v>0</v>
      </c>
      <c r="BE80">
        <f t="array" ref="BE80">IFERROR(INDEX((FTT),SMALL(IF($BB80=((c_Date)),ROW(FTT)-1,""),COLUMNS($BC80:BE80))),"")</f>
        <v>0</v>
      </c>
    </row>
    <row r="81" spans="55:57" x14ac:dyDescent="0.25">
      <c r="BC81">
        <f t="array" ref="BC81">IFERROR(INDEX((FTT),SMALL(IF($BB81=((c_Date)),ROW(FTT)-1,""),COLUMNS($BC81:BC81))),"")</f>
        <v>0</v>
      </c>
      <c r="BD81">
        <f t="array" ref="BD81">IFERROR(INDEX((FTT),SMALL(IF($BB81=((c_Date)),ROW(FTT)-1,""),COLUMNS($BC81:BD81))),"")</f>
        <v>0</v>
      </c>
      <c r="BE81">
        <f t="array" ref="BE81">IFERROR(INDEX((FTT),SMALL(IF($BB81=((c_Date)),ROW(FTT)-1,""),COLUMNS($BC81:BE81))),"")</f>
        <v>0</v>
      </c>
    </row>
    <row r="82" spans="55:57" x14ac:dyDescent="0.25">
      <c r="BC82">
        <f t="array" ref="BC82">IFERROR(INDEX((FTT),SMALL(IF($BB82=((c_Date)),ROW(FTT)-1,""),COLUMNS($BC82:BC82))),"")</f>
        <v>0</v>
      </c>
      <c r="BD82">
        <f t="array" ref="BD82">IFERROR(INDEX((FTT),SMALL(IF($BB82=((c_Date)),ROW(FTT)-1,""),COLUMNS($BC82:BD82))),"")</f>
        <v>0</v>
      </c>
      <c r="BE82">
        <f t="array" ref="BE82">IFERROR(INDEX((FTT),SMALL(IF($BB82=((c_Date)),ROW(FTT)-1,""),COLUMNS($BC82:BE82))),"")</f>
        <v>0</v>
      </c>
    </row>
    <row r="83" spans="55:57" x14ac:dyDescent="0.25">
      <c r="BC83">
        <f t="array" ref="BC83">IFERROR(INDEX((FTT),SMALL(IF($BB83=((c_Date)),ROW(FTT)-1,""),COLUMNS($BC83:BC83))),"")</f>
        <v>0</v>
      </c>
      <c r="BD83">
        <f t="array" ref="BD83">IFERROR(INDEX((FTT),SMALL(IF($BB83=((c_Date)),ROW(FTT)-1,""),COLUMNS($BC83:BD83))),"")</f>
        <v>0</v>
      </c>
      <c r="BE83">
        <f t="array" ref="BE83">IFERROR(INDEX((FTT),SMALL(IF($BB83=((c_Date)),ROW(FTT)-1,""),COLUMNS($BC83:BE83))),"")</f>
        <v>0</v>
      </c>
    </row>
    <row r="84" spans="55:57" x14ac:dyDescent="0.25">
      <c r="BC84">
        <f t="array" ref="BC84">IFERROR(INDEX((FTT),SMALL(IF($BB84=((c_Date)),ROW(FTT)-1,""),COLUMNS($BC84:BC84))),"")</f>
        <v>0</v>
      </c>
      <c r="BD84">
        <f t="array" ref="BD84">IFERROR(INDEX((FTT),SMALL(IF($BB84=((c_Date)),ROW(FTT)-1,""),COLUMNS($BC84:BD84))),"")</f>
        <v>0</v>
      </c>
      <c r="BE84">
        <f t="array" ref="BE84">IFERROR(INDEX((FTT),SMALL(IF($BB84=((c_Date)),ROW(FTT)-1,""),COLUMNS($BC84:BE84))),"")</f>
        <v>0</v>
      </c>
    </row>
    <row r="85" spans="55:57" x14ac:dyDescent="0.25">
      <c r="BC85">
        <f t="array" ref="BC85">IFERROR(INDEX((FTT),SMALL(IF($BB85=((c_Date)),ROW(FTT)-1,""),COLUMNS($BC85:BC85))),"")</f>
        <v>0</v>
      </c>
      <c r="BD85">
        <f t="array" ref="BD85">IFERROR(INDEX((FTT),SMALL(IF($BB85=((c_Date)),ROW(FTT)-1,""),COLUMNS($BC85:BD85))),"")</f>
        <v>0</v>
      </c>
      <c r="BE85">
        <f t="array" ref="BE85">IFERROR(INDEX((FTT),SMALL(IF($BB85=((c_Date)),ROW(FTT)-1,""),COLUMNS($BC85:BE85))),"")</f>
        <v>0</v>
      </c>
    </row>
    <row r="86" spans="55:57" x14ac:dyDescent="0.25">
      <c r="BC86">
        <f t="array" ref="BC86">IFERROR(INDEX((FTT),SMALL(IF($BB86=((c_Date)),ROW(FTT)-1,""),COLUMNS($BC86:BC86))),"")</f>
        <v>0</v>
      </c>
      <c r="BD86">
        <f t="array" ref="BD86">IFERROR(INDEX((FTT),SMALL(IF($BB86=((c_Date)),ROW(FTT)-1,""),COLUMNS($BC86:BD86))),"")</f>
        <v>0</v>
      </c>
      <c r="BE86">
        <f t="array" ref="BE86">IFERROR(INDEX((FTT),SMALL(IF($BB86=((c_Date)),ROW(FTT)-1,""),COLUMNS($BC86:BE86))),"")</f>
        <v>0</v>
      </c>
    </row>
    <row r="87" spans="55:57" x14ac:dyDescent="0.25">
      <c r="BC87">
        <f t="array" ref="BC87">IFERROR(INDEX((FTT),SMALL(IF($BB87=((c_Date)),ROW(FTT)-1,""),COLUMNS($BC87:BC87))),"")</f>
        <v>0</v>
      </c>
      <c r="BD87">
        <f t="array" ref="BD87">IFERROR(INDEX((FTT),SMALL(IF($BB87=((c_Date)),ROW(FTT)-1,""),COLUMNS($BC87:BD87))),"")</f>
        <v>0</v>
      </c>
      <c r="BE87">
        <f t="array" ref="BE87">IFERROR(INDEX((FTT),SMALL(IF($BB87=((c_Date)),ROW(FTT)-1,""),COLUMNS($BC87:BE87))),"")</f>
        <v>0</v>
      </c>
    </row>
    <row r="88" spans="55:57" x14ac:dyDescent="0.25">
      <c r="BC88">
        <f t="array" ref="BC88">IFERROR(INDEX((FTT),SMALL(IF($BB88=((c_Date)),ROW(FTT)-1,""),COLUMNS($BC88:BC88))),"")</f>
        <v>0</v>
      </c>
      <c r="BD88">
        <f t="array" ref="BD88">IFERROR(INDEX((FTT),SMALL(IF($BB88=((c_Date)),ROW(FTT)-1,""),COLUMNS($BC88:BD88))),"")</f>
        <v>0</v>
      </c>
      <c r="BE88">
        <f t="array" ref="BE88">IFERROR(INDEX((FTT),SMALL(IF($BB88=((c_Date)),ROW(FTT)-1,""),COLUMNS($BC88:BE88))),"")</f>
        <v>0</v>
      </c>
    </row>
    <row r="89" spans="55:57" x14ac:dyDescent="0.25">
      <c r="BC89">
        <f t="array" ref="BC89">IFERROR(INDEX((FTT),SMALL(IF($BB89=((c_Date)),ROW(FTT)-1,""),COLUMNS($BC89:BC89))),"")</f>
        <v>0</v>
      </c>
      <c r="BD89">
        <f t="array" ref="BD89">IFERROR(INDEX((FTT),SMALL(IF($BB89=((c_Date)),ROW(FTT)-1,""),COLUMNS($BC89:BD89))),"")</f>
        <v>0</v>
      </c>
      <c r="BE89">
        <f t="array" ref="BE89">IFERROR(INDEX((FTT),SMALL(IF($BB89=((c_Date)),ROW(FTT)-1,""),COLUMNS($BC89:BE89))),"")</f>
        <v>0</v>
      </c>
    </row>
    <row r="90" spans="55:57" x14ac:dyDescent="0.25">
      <c r="BC90">
        <f t="array" ref="BC90">IFERROR(INDEX((FTT),SMALL(IF($BB90=((c_Date)),ROW(FTT)-1,""),COLUMNS($BC90:BC90))),"")</f>
        <v>0</v>
      </c>
      <c r="BD90">
        <f t="array" ref="BD90">IFERROR(INDEX((FTT),SMALL(IF($BB90=((c_Date)),ROW(FTT)-1,""),COLUMNS($BC90:BD90))),"")</f>
        <v>0</v>
      </c>
      <c r="BE90">
        <f t="array" ref="BE90">IFERROR(INDEX((FTT),SMALL(IF($BB90=((c_Date)),ROW(FTT)-1,""),COLUMNS($BC90:BE90))),"")</f>
        <v>0</v>
      </c>
    </row>
    <row r="91" spans="55:57" x14ac:dyDescent="0.25">
      <c r="BC91">
        <f t="array" ref="BC91">IFERROR(INDEX((FTT),SMALL(IF($BB91=((c_Date)),ROW(FTT)-1,""),COLUMNS($BC91:BC91))),"")</f>
        <v>0</v>
      </c>
      <c r="BD91">
        <f t="array" ref="BD91">IFERROR(INDEX((FTT),SMALL(IF($BB91=((c_Date)),ROW(FTT)-1,""),COLUMNS($BC91:BD91))),"")</f>
        <v>0</v>
      </c>
      <c r="BE91">
        <f t="array" ref="BE91">IFERROR(INDEX((FTT),SMALL(IF($BB91=((c_Date)),ROW(FTT)-1,""),COLUMNS($BC91:BE91))),"")</f>
        <v>0</v>
      </c>
    </row>
    <row r="92" spans="55:57" x14ac:dyDescent="0.25">
      <c r="BC92">
        <f t="array" ref="BC92">IFERROR(INDEX((FTT),SMALL(IF($BB92=((c_Date)),ROW(FTT)-1,""),COLUMNS($BC92:BC92))),"")</f>
        <v>0</v>
      </c>
      <c r="BD92">
        <f t="array" ref="BD92">IFERROR(INDEX((FTT),SMALL(IF($BB92=((c_Date)),ROW(FTT)-1,""),COLUMNS($BC92:BD92))),"")</f>
        <v>0</v>
      </c>
      <c r="BE92">
        <f t="array" ref="BE92">IFERROR(INDEX((FTT),SMALL(IF($BB92=((c_Date)),ROW(FTT)-1,""),COLUMNS($BC92:BE92))),"")</f>
        <v>0</v>
      </c>
    </row>
    <row r="93" spans="55:57" x14ac:dyDescent="0.25">
      <c r="BC93">
        <f t="array" ref="BC93">IFERROR(INDEX((FTT),SMALL(IF($BB93=((c_Date)),ROW(FTT)-1,""),COLUMNS($BC93:BC93))),"")</f>
        <v>0</v>
      </c>
      <c r="BD93">
        <f t="array" ref="BD93">IFERROR(INDEX((FTT),SMALL(IF($BB93=((c_Date)),ROW(FTT)-1,""),COLUMNS($BC93:BD93))),"")</f>
        <v>0</v>
      </c>
      <c r="BE93">
        <f t="array" ref="BE93">IFERROR(INDEX((FTT),SMALL(IF($BB93=((c_Date)),ROW(FTT)-1,""),COLUMNS($BC93:BE93))),"")</f>
        <v>0</v>
      </c>
    </row>
    <row r="94" spans="55:57" x14ac:dyDescent="0.25">
      <c r="BC94">
        <f t="array" ref="BC94">IFERROR(INDEX((FTT),SMALL(IF($BB94=((c_Date)),ROW(FTT)-1,""),COLUMNS($BC94:BC94))),"")</f>
        <v>0</v>
      </c>
      <c r="BD94">
        <f t="array" ref="BD94">IFERROR(INDEX((FTT),SMALL(IF($BB94=((c_Date)),ROW(FTT)-1,""),COLUMNS($BC94:BD94))),"")</f>
        <v>0</v>
      </c>
      <c r="BE94">
        <f t="array" ref="BE94">IFERROR(INDEX((FTT),SMALL(IF($BB94=((c_Date)),ROW(FTT)-1,""),COLUMNS($BC94:BE94))),"")</f>
        <v>0</v>
      </c>
    </row>
    <row r="95" spans="55:57" x14ac:dyDescent="0.25">
      <c r="BC95">
        <f t="array" ref="BC95">IFERROR(INDEX((FTT),SMALL(IF($BB95=((c_Date)),ROW(FTT)-1,""),COLUMNS($BC95:BC95))),"")</f>
        <v>0</v>
      </c>
      <c r="BD95">
        <f t="array" ref="BD95">IFERROR(INDEX((FTT),SMALL(IF($BB95=((c_Date)),ROW(FTT)-1,""),COLUMNS($BC95:BD95))),"")</f>
        <v>0</v>
      </c>
      <c r="BE95">
        <f t="array" ref="BE95">IFERROR(INDEX((FTT),SMALL(IF($BB95=((c_Date)),ROW(FTT)-1,""),COLUMNS($BC95:BE95))),"")</f>
        <v>0</v>
      </c>
    </row>
    <row r="96" spans="55:57" x14ac:dyDescent="0.25">
      <c r="BC96">
        <f t="array" ref="BC96">IFERROR(INDEX((FTT),SMALL(IF($BB96=((c_Date)),ROW(FTT)-1,""),COLUMNS($BC96:BC96))),"")</f>
        <v>0</v>
      </c>
      <c r="BD96">
        <f t="array" ref="BD96">IFERROR(INDEX((FTT),SMALL(IF($BB96=((c_Date)),ROW(FTT)-1,""),COLUMNS($BC96:BD96))),"")</f>
        <v>0</v>
      </c>
      <c r="BE96">
        <f t="array" ref="BE96">IFERROR(INDEX((FTT),SMALL(IF($BB96=((c_Date)),ROW(FTT)-1,""),COLUMNS($BC96:BE96))),"")</f>
        <v>0</v>
      </c>
    </row>
    <row r="97" spans="55:57" x14ac:dyDescent="0.25">
      <c r="BC97">
        <f t="array" ref="BC97">IFERROR(INDEX((FTT),SMALL(IF($BB97=((c_Date)),ROW(FTT)-1,""),COLUMNS($BC97:BC97))),"")</f>
        <v>0</v>
      </c>
      <c r="BD97">
        <f t="array" ref="BD97">IFERROR(INDEX((FTT),SMALL(IF($BB97=((c_Date)),ROW(FTT)-1,""),COLUMNS($BC97:BD97))),"")</f>
        <v>0</v>
      </c>
      <c r="BE97">
        <f t="array" ref="BE97">IFERROR(INDEX((FTT),SMALL(IF($BB97=((c_Date)),ROW(FTT)-1,""),COLUMNS($BC97:BE97))),"")</f>
        <v>0</v>
      </c>
    </row>
    <row r="98" spans="55:57" x14ac:dyDescent="0.25">
      <c r="BC98">
        <f t="array" ref="BC98">IFERROR(INDEX((FTT),SMALL(IF($BB98=((c_Date)),ROW(FTT)-1,""),COLUMNS($BC98:BC98))),"")</f>
        <v>0</v>
      </c>
      <c r="BD98">
        <f t="array" ref="BD98">IFERROR(INDEX((FTT),SMALL(IF($BB98=((c_Date)),ROW(FTT)-1,""),COLUMNS($BC98:BD98))),"")</f>
        <v>0</v>
      </c>
      <c r="BE98">
        <f t="array" ref="BE98">IFERROR(INDEX((FTT),SMALL(IF($BB98=((c_Date)),ROW(FTT)-1,""),COLUMNS($BC98:BE98))),"")</f>
        <v>0</v>
      </c>
    </row>
    <row r="99" spans="55:57" x14ac:dyDescent="0.25">
      <c r="BC99">
        <f t="array" ref="BC99">IFERROR(INDEX((FTT),SMALL(IF($BB99=((c_Date)),ROW(FTT)-1,""),COLUMNS($BC99:BC99))),"")</f>
        <v>0</v>
      </c>
      <c r="BD99">
        <f t="array" ref="BD99">IFERROR(INDEX((FTT),SMALL(IF($BB99=((c_Date)),ROW(FTT)-1,""),COLUMNS($BC99:BD99))),"")</f>
        <v>0</v>
      </c>
      <c r="BE99">
        <f t="array" ref="BE99">IFERROR(INDEX((FTT),SMALL(IF($BB99=((c_Date)),ROW(FTT)-1,""),COLUMNS($BC99:BE99))),"")</f>
        <v>0</v>
      </c>
    </row>
    <row r="100" spans="55:57" x14ac:dyDescent="0.25">
      <c r="BC100">
        <f t="array" ref="BC100">IFERROR(INDEX((FTT),SMALL(IF($BB100=((c_Date)),ROW(FTT)-1,""),COLUMNS($BC100:BC100))),"")</f>
        <v>0</v>
      </c>
      <c r="BD100">
        <f t="array" ref="BD100">IFERROR(INDEX((FTT),SMALL(IF($BB100=((c_Date)),ROW(FTT)-1,""),COLUMNS($BC100:BD100))),"")</f>
        <v>0</v>
      </c>
      <c r="BE100">
        <f t="array" ref="BE100">IFERROR(INDEX((FTT),SMALL(IF($BB100=((c_Date)),ROW(FTT)-1,""),COLUMNS($BC100:BE100))),"")</f>
        <v>0</v>
      </c>
    </row>
    <row r="101" spans="55:57" x14ac:dyDescent="0.25">
      <c r="BC101">
        <f t="array" ref="BC101">IFERROR(INDEX((FTT),SMALL(IF($BB101=((c_Date)),ROW(FTT)-1,""),COLUMNS($BC101:BC101))),"")</f>
        <v>0</v>
      </c>
      <c r="BD101">
        <f t="array" ref="BD101">IFERROR(INDEX((FTT),SMALL(IF($BB101=((c_Date)),ROW(FTT)-1,""),COLUMNS($BC101:BD101))),"")</f>
        <v>0</v>
      </c>
      <c r="BE101">
        <f t="array" ref="BE101">IFERROR(INDEX((FTT),SMALL(IF($BB101=((c_Date)),ROW(FTT)-1,""),COLUMNS($BC101:BE101))),"")</f>
        <v>0</v>
      </c>
    </row>
    <row r="102" spans="55:57" x14ac:dyDescent="0.25">
      <c r="BC102">
        <f t="array" ref="BC102">IFERROR(INDEX((FTT),SMALL(IF($BB102=((c_Date)),ROW(FTT)-1,""),COLUMNS($BC102:BC102))),"")</f>
        <v>0</v>
      </c>
      <c r="BD102">
        <f t="array" ref="BD102">IFERROR(INDEX((FTT),SMALL(IF($BB102=((c_Date)),ROW(FTT)-1,""),COLUMNS($BC102:BD102))),"")</f>
        <v>0</v>
      </c>
      <c r="BE102">
        <f t="array" ref="BE102">IFERROR(INDEX((FTT),SMALL(IF($BB102=((c_Date)),ROW(FTT)-1,""),COLUMNS($BC102:BE102))),"")</f>
        <v>0</v>
      </c>
    </row>
    <row r="103" spans="55:57" x14ac:dyDescent="0.25">
      <c r="BC103">
        <f t="array" ref="BC103">IFERROR(INDEX((FTT),SMALL(IF($BB103=((c_Date)),ROW(FTT)-1,""),COLUMNS($BC103:BC103))),"")</f>
        <v>0</v>
      </c>
      <c r="BD103">
        <f t="array" ref="BD103">IFERROR(INDEX((FTT),SMALL(IF($BB103=((c_Date)),ROW(FTT)-1,""),COLUMNS($BC103:BD103))),"")</f>
        <v>0</v>
      </c>
      <c r="BE103">
        <f t="array" ref="BE103">IFERROR(INDEX((FTT),SMALL(IF($BB103=((c_Date)),ROW(FTT)-1,""),COLUMNS($BC103:BE103))),"")</f>
        <v>0</v>
      </c>
    </row>
    <row r="104" spans="55:57" x14ac:dyDescent="0.25">
      <c r="BC104">
        <f t="array" ref="BC104">IFERROR(INDEX((FTT),SMALL(IF($BB104=((c_Date)),ROW(FTT)-1,""),COLUMNS($BC104:BC104))),"")</f>
        <v>0</v>
      </c>
      <c r="BD104">
        <f t="array" ref="BD104">IFERROR(INDEX((FTT),SMALL(IF($BB104=((c_Date)),ROW(FTT)-1,""),COLUMNS($BC104:BD104))),"")</f>
        <v>0</v>
      </c>
      <c r="BE104">
        <f t="array" ref="BE104">IFERROR(INDEX((FTT),SMALL(IF($BB104=((c_Date)),ROW(FTT)-1,""),COLUMNS($BC104:BE104))),"")</f>
        <v>0</v>
      </c>
    </row>
    <row r="105" spans="55:57" x14ac:dyDescent="0.25">
      <c r="BC105">
        <f t="array" ref="BC105">IFERROR(INDEX((FTT),SMALL(IF($BB105=((c_Date)),ROW(FTT)-1,""),COLUMNS($BC105:BC105))),"")</f>
        <v>0</v>
      </c>
      <c r="BD105">
        <f t="array" ref="BD105">IFERROR(INDEX((FTT),SMALL(IF($BB105=((c_Date)),ROW(FTT)-1,""),COLUMNS($BC105:BD105))),"")</f>
        <v>0</v>
      </c>
      <c r="BE105">
        <f t="array" ref="BE105">IFERROR(INDEX((FTT),SMALL(IF($BB105=((c_Date)),ROW(FTT)-1,""),COLUMNS($BC105:BE105))),"")</f>
        <v>0</v>
      </c>
    </row>
    <row r="106" spans="55:57" x14ac:dyDescent="0.25">
      <c r="BC106">
        <f t="array" ref="BC106">IFERROR(INDEX((FTT),SMALL(IF($BB106=((c_Date)),ROW(FTT)-1,""),COLUMNS($BC106:BC106))),"")</f>
        <v>0</v>
      </c>
      <c r="BD106">
        <f t="array" ref="BD106">IFERROR(INDEX((FTT),SMALL(IF($BB106=((c_Date)),ROW(FTT)-1,""),COLUMNS($BC106:BD106))),"")</f>
        <v>0</v>
      </c>
      <c r="BE106">
        <f t="array" ref="BE106">IFERROR(INDEX((FTT),SMALL(IF($BB106=((c_Date)),ROW(FTT)-1,""),COLUMNS($BC106:BE106))),"")</f>
        <v>0</v>
      </c>
    </row>
    <row r="107" spans="55:57" x14ac:dyDescent="0.25">
      <c r="BC107">
        <f t="array" ref="BC107">IFERROR(INDEX((FTT),SMALL(IF($BB107=((c_Date)),ROW(FTT)-1,""),COLUMNS($BC107:BC107))),"")</f>
        <v>0</v>
      </c>
      <c r="BD107">
        <f t="array" ref="BD107">IFERROR(INDEX((FTT),SMALL(IF($BB107=((c_Date)),ROW(FTT)-1,""),COLUMNS($BC107:BD107))),"")</f>
        <v>0</v>
      </c>
      <c r="BE107">
        <f t="array" ref="BE107">IFERROR(INDEX((FTT),SMALL(IF($BB107=((c_Date)),ROW(FTT)-1,""),COLUMNS($BC107:BE107))),"")</f>
        <v>0</v>
      </c>
    </row>
    <row r="108" spans="55:57" x14ac:dyDescent="0.25">
      <c r="BC108">
        <f t="array" ref="BC108">IFERROR(INDEX((FTT),SMALL(IF($BB108=((c_Date)),ROW(FTT)-1,""),COLUMNS($BC108:BC108))),"")</f>
        <v>0</v>
      </c>
      <c r="BD108">
        <f t="array" ref="BD108">IFERROR(INDEX((FTT),SMALL(IF($BB108=((c_Date)),ROW(FTT)-1,""),COLUMNS($BC108:BD108))),"")</f>
        <v>0</v>
      </c>
      <c r="BE108">
        <f t="array" ref="BE108">IFERROR(INDEX((FTT),SMALL(IF($BB108=((c_Date)),ROW(FTT)-1,""),COLUMNS($BC108:BE108))),"")</f>
        <v>0</v>
      </c>
    </row>
    <row r="109" spans="55:57" x14ac:dyDescent="0.25">
      <c r="BC109">
        <f t="array" ref="BC109">IFERROR(INDEX((FTT),SMALL(IF($BB109=((c_Date)),ROW(FTT)-1,""),COLUMNS($BC109:BC109))),"")</f>
        <v>0</v>
      </c>
      <c r="BD109">
        <f t="array" ref="BD109">IFERROR(INDEX((FTT),SMALL(IF($BB109=((c_Date)),ROW(FTT)-1,""),COLUMNS($BC109:BD109))),"")</f>
        <v>0</v>
      </c>
      <c r="BE109">
        <f t="array" ref="BE109">IFERROR(INDEX((FTT),SMALL(IF($BB109=((c_Date)),ROW(FTT)-1,""),COLUMNS($BC109:BE109))),"")</f>
        <v>0</v>
      </c>
    </row>
    <row r="110" spans="55:57" x14ac:dyDescent="0.25">
      <c r="BC110">
        <f t="array" ref="BC110">IFERROR(INDEX((FTT),SMALL(IF($BB110=((c_Date)),ROW(FTT)-1,""),COLUMNS($BC110:BC110))),"")</f>
        <v>0</v>
      </c>
      <c r="BD110">
        <f t="array" ref="BD110">IFERROR(INDEX((FTT),SMALL(IF($BB110=((c_Date)),ROW(FTT)-1,""),COLUMNS($BC110:BD110))),"")</f>
        <v>0</v>
      </c>
      <c r="BE110">
        <f t="array" ref="BE110">IFERROR(INDEX((FTT),SMALL(IF($BB110=((c_Date)),ROW(FTT)-1,""),COLUMNS($BC110:BE110))),"")</f>
        <v>0</v>
      </c>
    </row>
    <row r="111" spans="55:57" x14ac:dyDescent="0.25">
      <c r="BC111">
        <f t="array" ref="BC111">IFERROR(INDEX((FTT),SMALL(IF($BB111=((c_Date)),ROW(FTT)-1,""),COLUMNS($BC111:BC111))),"")</f>
        <v>0</v>
      </c>
      <c r="BD111">
        <f t="array" ref="BD111">IFERROR(INDEX((FTT),SMALL(IF($BB111=((c_Date)),ROW(FTT)-1,""),COLUMNS($BC111:BD111))),"")</f>
        <v>0</v>
      </c>
      <c r="BE111">
        <f t="array" ref="BE111">IFERROR(INDEX((FTT),SMALL(IF($BB111=((c_Date)),ROW(FTT)-1,""),COLUMNS($BC111:BE111))),"")</f>
        <v>0</v>
      </c>
    </row>
    <row r="112" spans="55:57" x14ac:dyDescent="0.25">
      <c r="BC112">
        <f t="array" ref="BC112">IFERROR(INDEX((FTT),SMALL(IF($BB112=((c_Date)),ROW(FTT)-1,""),COLUMNS($BC112:BC112))),"")</f>
        <v>0</v>
      </c>
      <c r="BD112">
        <f t="array" ref="BD112">IFERROR(INDEX((FTT),SMALL(IF($BB112=((c_Date)),ROW(FTT)-1,""),COLUMNS($BC112:BD112))),"")</f>
        <v>0</v>
      </c>
      <c r="BE112">
        <f t="array" ref="BE112">IFERROR(INDEX((FTT),SMALL(IF($BB112=((c_Date)),ROW(FTT)-1,""),COLUMNS($BC112:BE112))),"")</f>
        <v>0</v>
      </c>
    </row>
    <row r="113" spans="55:57" x14ac:dyDescent="0.25">
      <c r="BC113">
        <f t="array" ref="BC113">IFERROR(INDEX((FTT),SMALL(IF($BB113=((c_Date)),ROW(FTT)-1,""),COLUMNS($BC113:BC113))),"")</f>
        <v>0</v>
      </c>
      <c r="BD113">
        <f t="array" ref="BD113">IFERROR(INDEX((FTT),SMALL(IF($BB113=((c_Date)),ROW(FTT)-1,""),COLUMNS($BC113:BD113))),"")</f>
        <v>0</v>
      </c>
      <c r="BE113">
        <f t="array" ref="BE113">IFERROR(INDEX((FTT),SMALL(IF($BB113=((c_Date)),ROW(FTT)-1,""),COLUMNS($BC113:BE113))),"")</f>
        <v>0</v>
      </c>
    </row>
    <row r="114" spans="55:57" x14ac:dyDescent="0.25">
      <c r="BC114">
        <f t="array" ref="BC114">IFERROR(INDEX((FTT),SMALL(IF($BB114=((c_Date)),ROW(FTT)-1,""),COLUMNS($BC114:BC114))),"")</f>
        <v>0</v>
      </c>
      <c r="BD114">
        <f t="array" ref="BD114">IFERROR(INDEX((FTT),SMALL(IF($BB114=((c_Date)),ROW(FTT)-1,""),COLUMNS($BC114:BD114))),"")</f>
        <v>0</v>
      </c>
      <c r="BE114">
        <f t="array" ref="BE114">IFERROR(INDEX((FTT),SMALL(IF($BB114=((c_Date)),ROW(FTT)-1,""),COLUMNS($BC114:BE114))),"")</f>
        <v>0</v>
      </c>
    </row>
    <row r="115" spans="55:57" x14ac:dyDescent="0.25">
      <c r="BC115">
        <f t="array" ref="BC115">IFERROR(INDEX((FTT),SMALL(IF($BB115=((c_Date)),ROW(FTT)-1,""),COLUMNS($BC115:BC115))),"")</f>
        <v>0</v>
      </c>
      <c r="BD115">
        <f t="array" ref="BD115">IFERROR(INDEX((FTT),SMALL(IF($BB115=((c_Date)),ROW(FTT)-1,""),COLUMNS($BC115:BD115))),"")</f>
        <v>0</v>
      </c>
      <c r="BE115">
        <f t="array" ref="BE115">IFERROR(INDEX((FTT),SMALL(IF($BB115=((c_Date)),ROW(FTT)-1,""),COLUMNS($BC115:BE115))),"")</f>
        <v>0</v>
      </c>
    </row>
    <row r="116" spans="55:57" x14ac:dyDescent="0.25">
      <c r="BC116">
        <f t="array" ref="BC116">IFERROR(INDEX((FTT),SMALL(IF($BB116=((c_Date)),ROW(FTT)-1,""),COLUMNS($BC116:BC116))),"")</f>
        <v>0</v>
      </c>
      <c r="BD116">
        <f t="array" ref="BD116">IFERROR(INDEX((FTT),SMALL(IF($BB116=((c_Date)),ROW(FTT)-1,""),COLUMNS($BC116:BD116))),"")</f>
        <v>0</v>
      </c>
      <c r="BE116">
        <f t="array" ref="BE116">IFERROR(INDEX((FTT),SMALL(IF($BB116=((c_Date)),ROW(FTT)-1,""),COLUMNS($BC116:BE116))),"")</f>
        <v>0</v>
      </c>
    </row>
    <row r="117" spans="55:57" x14ac:dyDescent="0.25">
      <c r="BC117">
        <f t="array" ref="BC117">IFERROR(INDEX((FTT),SMALL(IF($BB117=((c_Date)),ROW(FTT)-1,""),COLUMNS($BC117:BC117))),"")</f>
        <v>0</v>
      </c>
      <c r="BD117">
        <f t="array" ref="BD117">IFERROR(INDEX((FTT),SMALL(IF($BB117=((c_Date)),ROW(FTT)-1,""),COLUMNS($BC117:BD117))),"")</f>
        <v>0</v>
      </c>
      <c r="BE117">
        <f t="array" ref="BE117">IFERROR(INDEX((FTT),SMALL(IF($BB117=((c_Date)),ROW(FTT)-1,""),COLUMNS($BC117:BE117))),"")</f>
        <v>0</v>
      </c>
    </row>
    <row r="118" spans="55:57" x14ac:dyDescent="0.25">
      <c r="BC118">
        <f t="array" ref="BC118">IFERROR(INDEX((FTT),SMALL(IF($BB118=((c_Date)),ROW(FTT)-1,""),COLUMNS($BC118:BC118))),"")</f>
        <v>0</v>
      </c>
      <c r="BD118">
        <f t="array" ref="BD118">IFERROR(INDEX((FTT),SMALL(IF($BB118=((c_Date)),ROW(FTT)-1,""),COLUMNS($BC118:BD118))),"")</f>
        <v>0</v>
      </c>
      <c r="BE118">
        <f t="array" ref="BE118">IFERROR(INDEX((FTT),SMALL(IF($BB118=((c_Date)),ROW(FTT)-1,""),COLUMNS($BC118:BE118))),"")</f>
        <v>0</v>
      </c>
    </row>
    <row r="119" spans="55:57" x14ac:dyDescent="0.25">
      <c r="BC119">
        <f t="array" ref="BC119">IFERROR(INDEX((FTT),SMALL(IF($BB119=((c_Date)),ROW(FTT)-1,""),COLUMNS($BC119:BC119))),"")</f>
        <v>0</v>
      </c>
      <c r="BD119">
        <f t="array" ref="BD119">IFERROR(INDEX((FTT),SMALL(IF($BB119=((c_Date)),ROW(FTT)-1,""),COLUMNS($BC119:BD119))),"")</f>
        <v>0</v>
      </c>
      <c r="BE119">
        <f t="array" ref="BE119">IFERROR(INDEX((FTT),SMALL(IF($BB119=((c_Date)),ROW(FTT)-1,""),COLUMNS($BC119:BE119))),"")</f>
        <v>0</v>
      </c>
    </row>
    <row r="120" spans="55:57" x14ac:dyDescent="0.25">
      <c r="BC120">
        <f t="array" ref="BC120">IFERROR(INDEX((FTT),SMALL(IF($BB120=((c_Date)),ROW(FTT)-1,""),COLUMNS($BC120:BC120))),"")</f>
        <v>0</v>
      </c>
      <c r="BD120">
        <f t="array" ref="BD120">IFERROR(INDEX((FTT),SMALL(IF($BB120=((c_Date)),ROW(FTT)-1,""),COLUMNS($BC120:BD120))),"")</f>
        <v>0</v>
      </c>
      <c r="BE120">
        <f t="array" ref="BE120">IFERROR(INDEX((FTT),SMALL(IF($BB120=((c_Date)),ROW(FTT)-1,""),COLUMNS($BC120:BE120))),"")</f>
        <v>0</v>
      </c>
    </row>
    <row r="121" spans="55:57" x14ac:dyDescent="0.25">
      <c r="BC121">
        <f t="array" ref="BC121">IFERROR(INDEX((FTT),SMALL(IF($BB121=((c_Date)),ROW(FTT)-1,""),COLUMNS($BC121:BC121))),"")</f>
        <v>0</v>
      </c>
      <c r="BD121">
        <f t="array" ref="BD121">IFERROR(INDEX((FTT),SMALL(IF($BB121=((c_Date)),ROW(FTT)-1,""),COLUMNS($BC121:BD121))),"")</f>
        <v>0</v>
      </c>
      <c r="BE121">
        <f t="array" ref="BE121">IFERROR(INDEX((FTT),SMALL(IF($BB121=((c_Date)),ROW(FTT)-1,""),COLUMNS($BC121:BE121))),"")</f>
        <v>0</v>
      </c>
    </row>
    <row r="122" spans="55:57" x14ac:dyDescent="0.25">
      <c r="BC122">
        <f t="array" ref="BC122">IFERROR(INDEX((FTT),SMALL(IF($BB122=((c_Date)),ROW(FTT)-1,""),COLUMNS($BC122:BC122))),"")</f>
        <v>0</v>
      </c>
      <c r="BD122">
        <f t="array" ref="BD122">IFERROR(INDEX((FTT),SMALL(IF($BB122=((c_Date)),ROW(FTT)-1,""),COLUMNS($BC122:BD122))),"")</f>
        <v>0</v>
      </c>
      <c r="BE122">
        <f t="array" ref="BE122">IFERROR(INDEX((FTT),SMALL(IF($BB122=((c_Date)),ROW(FTT)-1,""),COLUMNS($BC122:BE122))),"")</f>
        <v>0</v>
      </c>
    </row>
    <row r="123" spans="55:57" x14ac:dyDescent="0.25">
      <c r="BC123">
        <f t="array" ref="BC123">IFERROR(INDEX((FTT),SMALL(IF($BB123=((c_Date)),ROW(FTT)-1,""),COLUMNS($BC123:BC123))),"")</f>
        <v>0</v>
      </c>
      <c r="BD123">
        <f t="array" ref="BD123">IFERROR(INDEX((FTT),SMALL(IF($BB123=((c_Date)),ROW(FTT)-1,""),COLUMNS($BC123:BD123))),"")</f>
        <v>0</v>
      </c>
      <c r="BE123">
        <f t="array" ref="BE123">IFERROR(INDEX((FTT),SMALL(IF($BB123=((c_Date)),ROW(FTT)-1,""),COLUMNS($BC123:BE123))),"")</f>
        <v>0</v>
      </c>
    </row>
    <row r="124" spans="55:57" x14ac:dyDescent="0.25">
      <c r="BC124">
        <f t="array" ref="BC124">IFERROR(INDEX((FTT),SMALL(IF($BB124=((c_Date)),ROW(FTT)-1,""),COLUMNS($BC124:BC124))),"")</f>
        <v>0</v>
      </c>
      <c r="BD124">
        <f t="array" ref="BD124">IFERROR(INDEX((FTT),SMALL(IF($BB124=((c_Date)),ROW(FTT)-1,""),COLUMNS($BC124:BD124))),"")</f>
        <v>0</v>
      </c>
      <c r="BE124">
        <f t="array" ref="BE124">IFERROR(INDEX((FTT),SMALL(IF($BB124=((c_Date)),ROW(FTT)-1,""),COLUMNS($BC124:BE124))),"")</f>
        <v>0</v>
      </c>
    </row>
    <row r="125" spans="55:57" x14ac:dyDescent="0.25">
      <c r="BC125">
        <f t="array" ref="BC125">IFERROR(INDEX((FTT),SMALL(IF($BB125=((c_Date)),ROW(FTT)-1,""),COLUMNS($BC125:BC125))),"")</f>
        <v>0</v>
      </c>
      <c r="BD125">
        <f t="array" ref="BD125">IFERROR(INDEX((FTT),SMALL(IF($BB125=((c_Date)),ROW(FTT)-1,""),COLUMNS($BC125:BD125))),"")</f>
        <v>0</v>
      </c>
      <c r="BE125">
        <f t="array" ref="BE125">IFERROR(INDEX((FTT),SMALL(IF($BB125=((c_Date)),ROW(FTT)-1,""),COLUMNS($BC125:BE125))),"")</f>
        <v>0</v>
      </c>
    </row>
    <row r="126" spans="55:57" x14ac:dyDescent="0.25">
      <c r="BC126">
        <f t="array" ref="BC126">IFERROR(INDEX((FTT),SMALL(IF($BB126=((c_Date)),ROW(FTT)-1,""),COLUMNS($BC126:BC126))),"")</f>
        <v>0</v>
      </c>
      <c r="BD126">
        <f t="array" ref="BD126">IFERROR(INDEX((FTT),SMALL(IF($BB126=((c_Date)),ROW(FTT)-1,""),COLUMNS($BC126:BD126))),"")</f>
        <v>0</v>
      </c>
      <c r="BE126">
        <f t="array" ref="BE126">IFERROR(INDEX((FTT),SMALL(IF($BB126=((c_Date)),ROW(FTT)-1,""),COLUMNS($BC126:BE126))),"")</f>
        <v>0</v>
      </c>
    </row>
    <row r="127" spans="55:57" x14ac:dyDescent="0.25">
      <c r="BC127">
        <f t="array" ref="BC127">IFERROR(INDEX((FTT),SMALL(IF($BB127=((c_Date)),ROW(FTT)-1,""),COLUMNS($BC127:BC127))),"")</f>
        <v>0</v>
      </c>
      <c r="BD127">
        <f t="array" ref="BD127">IFERROR(INDEX((FTT),SMALL(IF($BB127=((c_Date)),ROW(FTT)-1,""),COLUMNS($BC127:BD127))),"")</f>
        <v>0</v>
      </c>
      <c r="BE127">
        <f t="array" ref="BE127">IFERROR(INDEX((FTT),SMALL(IF($BB127=((c_Date)),ROW(FTT)-1,""),COLUMNS($BC127:BE127))),"")</f>
        <v>0</v>
      </c>
    </row>
    <row r="128" spans="55:57" x14ac:dyDescent="0.25">
      <c r="BC128">
        <f t="array" ref="BC128">IFERROR(INDEX((FTT),SMALL(IF($BB128=((c_Date)),ROW(FTT)-1,""),COLUMNS($BC128:BC128))),"")</f>
        <v>0</v>
      </c>
      <c r="BD128">
        <f t="array" ref="BD128">IFERROR(INDEX((FTT),SMALL(IF($BB128=((c_Date)),ROW(FTT)-1,""),COLUMNS($BC128:BD128))),"")</f>
        <v>0</v>
      </c>
      <c r="BE128">
        <f t="array" ref="BE128">IFERROR(INDEX((FTT),SMALL(IF($BB128=((c_Date)),ROW(FTT)-1,""),COLUMNS($BC128:BE128))),"")</f>
        <v>0</v>
      </c>
    </row>
    <row r="129" spans="55:57" x14ac:dyDescent="0.25">
      <c r="BC129">
        <f t="array" ref="BC129">IFERROR(INDEX((FTT),SMALL(IF($BB129=((c_Date)),ROW(FTT)-1,""),COLUMNS($BC129:BC129))),"")</f>
        <v>0</v>
      </c>
      <c r="BD129">
        <f t="array" ref="BD129">IFERROR(INDEX((FTT),SMALL(IF($BB129=((c_Date)),ROW(FTT)-1,""),COLUMNS($BC129:BD129))),"")</f>
        <v>0</v>
      </c>
      <c r="BE129">
        <f t="array" ref="BE129">IFERROR(INDEX((FTT),SMALL(IF($BB129=((c_Date)),ROW(FTT)-1,""),COLUMNS($BC129:BE129))),"")</f>
        <v>0</v>
      </c>
    </row>
    <row r="130" spans="55:57" x14ac:dyDescent="0.25">
      <c r="BC130">
        <f t="array" ref="BC130">IFERROR(INDEX((FTT),SMALL(IF($BB130=((c_Date)),ROW(FTT)-1,""),COLUMNS($BC130:BC130))),"")</f>
        <v>0</v>
      </c>
      <c r="BD130">
        <f t="array" ref="BD130">IFERROR(INDEX((FTT),SMALL(IF($BB130=((c_Date)),ROW(FTT)-1,""),COLUMNS($BC130:BD130))),"")</f>
        <v>0</v>
      </c>
      <c r="BE130">
        <f t="array" ref="BE130">IFERROR(INDEX((FTT),SMALL(IF($BB130=((c_Date)),ROW(FTT)-1,""),COLUMNS($BC130:BE130))),"")</f>
        <v>0</v>
      </c>
    </row>
    <row r="131" spans="55:57" x14ac:dyDescent="0.25">
      <c r="BC131">
        <f t="array" ref="BC131">IFERROR(INDEX((FTT),SMALL(IF($BB131=((c_Date)),ROW(FTT)-1,""),COLUMNS($BC131:BC131))),"")</f>
        <v>0</v>
      </c>
      <c r="BD131">
        <f t="array" ref="BD131">IFERROR(INDEX((FTT),SMALL(IF($BB131=((c_Date)),ROW(FTT)-1,""),COLUMNS($BC131:BD131))),"")</f>
        <v>0</v>
      </c>
      <c r="BE131">
        <f t="array" ref="BE131">IFERROR(INDEX((FTT),SMALL(IF($BB131=((c_Date)),ROW(FTT)-1,""),COLUMNS($BC131:BE131))),"")</f>
        <v>0</v>
      </c>
    </row>
    <row r="132" spans="55:57" x14ac:dyDescent="0.25">
      <c r="BC132">
        <f t="array" ref="BC132">IFERROR(INDEX((FTT),SMALL(IF($BB132=((c_Date)),ROW(FTT)-1,""),COLUMNS($BC132:BC132))),"")</f>
        <v>0</v>
      </c>
      <c r="BD132">
        <f t="array" ref="BD132">IFERROR(INDEX((FTT),SMALL(IF($BB132=((c_Date)),ROW(FTT)-1,""),COLUMNS($BC132:BD132))),"")</f>
        <v>0</v>
      </c>
      <c r="BE132">
        <f t="array" ref="BE132">IFERROR(INDEX((FTT),SMALL(IF($BB132=((c_Date)),ROW(FTT)-1,""),COLUMNS($BC132:BE132))),"")</f>
        <v>0</v>
      </c>
    </row>
    <row r="133" spans="55:57" x14ac:dyDescent="0.25">
      <c r="BC133">
        <f t="array" ref="BC133">IFERROR(INDEX((FTT),SMALL(IF($BB133=((c_Date)),ROW(FTT)-1,""),COLUMNS($BC133:BC133))),"")</f>
        <v>0</v>
      </c>
      <c r="BD133">
        <f t="array" ref="BD133">IFERROR(INDEX((FTT),SMALL(IF($BB133=((c_Date)),ROW(FTT)-1,""),COLUMNS($BC133:BD133))),"")</f>
        <v>0</v>
      </c>
      <c r="BE133">
        <f t="array" ref="BE133">IFERROR(INDEX((FTT),SMALL(IF($BB133=((c_Date)),ROW(FTT)-1,""),COLUMNS($BC133:BE133))),"")</f>
        <v>0</v>
      </c>
    </row>
    <row r="134" spans="55:57" x14ac:dyDescent="0.25">
      <c r="BC134">
        <f t="array" ref="BC134">IFERROR(INDEX((FTT),SMALL(IF($BB134=((c_Date)),ROW(FTT)-1,""),COLUMNS($BC134:BC134))),"")</f>
        <v>0</v>
      </c>
      <c r="BD134">
        <f t="array" ref="BD134">IFERROR(INDEX((FTT),SMALL(IF($BB134=((c_Date)),ROW(FTT)-1,""),COLUMNS($BC134:BD134))),"")</f>
        <v>0</v>
      </c>
      <c r="BE134">
        <f t="array" ref="BE134">IFERROR(INDEX((FTT),SMALL(IF($BB134=((c_Date)),ROW(FTT)-1,""),COLUMNS($BC134:BE134))),"")</f>
        <v>0</v>
      </c>
    </row>
    <row r="135" spans="55:57" x14ac:dyDescent="0.25">
      <c r="BC135">
        <f t="array" ref="BC135">IFERROR(INDEX((FTT),SMALL(IF($BB135=((c_Date)),ROW(FTT)-1,""),COLUMNS($BC135:BC135))),"")</f>
        <v>0</v>
      </c>
      <c r="BD135">
        <f t="array" ref="BD135">IFERROR(INDEX((FTT),SMALL(IF($BB135=((c_Date)),ROW(FTT)-1,""),COLUMNS($BC135:BD135))),"")</f>
        <v>0</v>
      </c>
      <c r="BE135">
        <f t="array" ref="BE135">IFERROR(INDEX((FTT),SMALL(IF($BB135=((c_Date)),ROW(FTT)-1,""),COLUMNS($BC135:BE135))),"")</f>
        <v>0</v>
      </c>
    </row>
    <row r="136" spans="55:57" x14ac:dyDescent="0.25">
      <c r="BC136">
        <f t="array" ref="BC136">IFERROR(INDEX((FTT),SMALL(IF($BB136=((c_Date)),ROW(FTT)-1,""),COLUMNS($BC136:BC136))),"")</f>
        <v>0</v>
      </c>
      <c r="BD136">
        <f t="array" ref="BD136">IFERROR(INDEX((FTT),SMALL(IF($BB136=((c_Date)),ROW(FTT)-1,""),COLUMNS($BC136:BD136))),"")</f>
        <v>0</v>
      </c>
      <c r="BE136">
        <f t="array" ref="BE136">IFERROR(INDEX((FTT),SMALL(IF($BB136=((c_Date)),ROW(FTT)-1,""),COLUMNS($BC136:BE136))),"")</f>
        <v>0</v>
      </c>
    </row>
    <row r="137" spans="55:57" x14ac:dyDescent="0.25">
      <c r="BC137">
        <f t="array" ref="BC137">IFERROR(INDEX((FTT),SMALL(IF($BB137=((c_Date)),ROW(FTT)-1,""),COLUMNS($BC137:BC137))),"")</f>
        <v>0</v>
      </c>
      <c r="BD137">
        <f t="array" ref="BD137">IFERROR(INDEX((FTT),SMALL(IF($BB137=((c_Date)),ROW(FTT)-1,""),COLUMNS($BC137:BD137))),"")</f>
        <v>0</v>
      </c>
      <c r="BE137">
        <f t="array" ref="BE137">IFERROR(INDEX((FTT),SMALL(IF($BB137=((c_Date)),ROW(FTT)-1,""),COLUMNS($BC137:BE137))),"")</f>
        <v>0</v>
      </c>
    </row>
    <row r="138" spans="55:57" x14ac:dyDescent="0.25">
      <c r="BC138">
        <f t="array" ref="BC138">IFERROR(INDEX((FTT),SMALL(IF($BB138=((c_Date)),ROW(FTT)-1,""),COLUMNS($BC138:BC138))),"")</f>
        <v>0</v>
      </c>
      <c r="BD138">
        <f t="array" ref="BD138">IFERROR(INDEX((FTT),SMALL(IF($BB138=((c_Date)),ROW(FTT)-1,""),COLUMNS($BC138:BD138))),"")</f>
        <v>0</v>
      </c>
      <c r="BE138">
        <f t="array" ref="BE138">IFERROR(INDEX((FTT),SMALL(IF($BB138=((c_Date)),ROW(FTT)-1,""),COLUMNS($BC138:BE138))),"")</f>
        <v>0</v>
      </c>
    </row>
    <row r="139" spans="55:57" x14ac:dyDescent="0.25">
      <c r="BC139">
        <f t="array" ref="BC139">IFERROR(INDEX((FTT),SMALL(IF($BB139=((c_Date)),ROW(FTT)-1,""),COLUMNS($BC139:BC139))),"")</f>
        <v>0</v>
      </c>
      <c r="BD139">
        <f t="array" ref="BD139">IFERROR(INDEX((FTT),SMALL(IF($BB139=((c_Date)),ROW(FTT)-1,""),COLUMNS($BC139:BD139))),"")</f>
        <v>0</v>
      </c>
      <c r="BE139">
        <f t="array" ref="BE139">IFERROR(INDEX((FTT),SMALL(IF($BB139=((c_Date)),ROW(FTT)-1,""),COLUMNS($BC139:BE139))),"")</f>
        <v>0</v>
      </c>
    </row>
    <row r="140" spans="55:57" x14ac:dyDescent="0.25">
      <c r="BC140">
        <f t="array" ref="BC140">IFERROR(INDEX((FTT),SMALL(IF($BB140=((c_Date)),ROW(FTT)-1,""),COLUMNS($BC140:BC140))),"")</f>
        <v>0</v>
      </c>
      <c r="BD140">
        <f t="array" ref="BD140">IFERROR(INDEX((FTT),SMALL(IF($BB140=((c_Date)),ROW(FTT)-1,""),COLUMNS($BC140:BD140))),"")</f>
        <v>0</v>
      </c>
      <c r="BE140">
        <f t="array" ref="BE140">IFERROR(INDEX((FTT),SMALL(IF($BB140=((c_Date)),ROW(FTT)-1,""),COLUMNS($BC140:BE140))),"")</f>
        <v>0</v>
      </c>
    </row>
    <row r="141" spans="55:57" x14ac:dyDescent="0.25">
      <c r="BC141">
        <f t="array" ref="BC141">IFERROR(INDEX((FTT),SMALL(IF($BB141=((c_Date)),ROW(FTT)-1,""),COLUMNS($BC141:BC141))),"")</f>
        <v>0</v>
      </c>
      <c r="BD141">
        <f t="array" ref="BD141">IFERROR(INDEX((FTT),SMALL(IF($BB141=((c_Date)),ROW(FTT)-1,""),COLUMNS($BC141:BD141))),"")</f>
        <v>0</v>
      </c>
      <c r="BE141">
        <f t="array" ref="BE141">IFERROR(INDEX((FTT),SMALL(IF($BB141=((c_Date)),ROW(FTT)-1,""),COLUMNS($BC141:BE141))),"")</f>
        <v>0</v>
      </c>
    </row>
    <row r="142" spans="55:57" x14ac:dyDescent="0.25">
      <c r="BC142">
        <f t="array" ref="BC142">IFERROR(INDEX((FTT),SMALL(IF($BB142=((c_Date)),ROW(FTT)-1,""),COLUMNS($BC142:BC142))),"")</f>
        <v>0</v>
      </c>
      <c r="BD142">
        <f t="array" ref="BD142">IFERROR(INDEX((FTT),SMALL(IF($BB142=((c_Date)),ROW(FTT)-1,""),COLUMNS($BC142:BD142))),"")</f>
        <v>0</v>
      </c>
      <c r="BE142">
        <f t="array" ref="BE142">IFERROR(INDEX((FTT),SMALL(IF($BB142=((c_Date)),ROW(FTT)-1,""),COLUMNS($BC142:BE142))),"")</f>
        <v>0</v>
      </c>
    </row>
    <row r="143" spans="55:57" x14ac:dyDescent="0.25">
      <c r="BC143">
        <f t="array" ref="BC143">IFERROR(INDEX((FTT),SMALL(IF($BB143=((c_Date)),ROW(FTT)-1,""),COLUMNS($BC143:BC143))),"")</f>
        <v>0</v>
      </c>
      <c r="BD143">
        <f t="array" ref="BD143">IFERROR(INDEX((FTT),SMALL(IF($BB143=((c_Date)),ROW(FTT)-1,""),COLUMNS($BC143:BD143))),"")</f>
        <v>0</v>
      </c>
      <c r="BE143">
        <f t="array" ref="BE143">IFERROR(INDEX((FTT),SMALL(IF($BB143=((c_Date)),ROW(FTT)-1,""),COLUMNS($BC143:BE143))),"")</f>
        <v>0</v>
      </c>
    </row>
    <row r="144" spans="55:57" x14ac:dyDescent="0.25">
      <c r="BC144">
        <f t="array" ref="BC144">IFERROR(INDEX((FTT),SMALL(IF($BB144=((c_Date)),ROW(FTT)-1,""),COLUMNS($BC144:BC144))),"")</f>
        <v>0</v>
      </c>
      <c r="BD144">
        <f t="array" ref="BD144">IFERROR(INDEX((FTT),SMALL(IF($BB144=((c_Date)),ROW(FTT)-1,""),COLUMNS($BC144:BD144))),"")</f>
        <v>0</v>
      </c>
      <c r="BE144">
        <f t="array" ref="BE144">IFERROR(INDEX((FTT),SMALL(IF($BB144=((c_Date)),ROW(FTT)-1,""),COLUMNS($BC144:BE144))),"")</f>
        <v>0</v>
      </c>
    </row>
    <row r="145" spans="55:57" x14ac:dyDescent="0.25">
      <c r="BC145">
        <f t="array" ref="BC145">IFERROR(INDEX((FTT),SMALL(IF($BB145=((c_Date)),ROW(FTT)-1,""),COLUMNS($BC145:BC145))),"")</f>
        <v>0</v>
      </c>
      <c r="BD145">
        <f t="array" ref="BD145">IFERROR(INDEX((FTT),SMALL(IF($BB145=((c_Date)),ROW(FTT)-1,""),COLUMNS($BC145:BD145))),"")</f>
        <v>0</v>
      </c>
      <c r="BE145">
        <f t="array" ref="BE145">IFERROR(INDEX((FTT),SMALL(IF($BB145=((c_Date)),ROW(FTT)-1,""),COLUMNS($BC145:BE145))),"")</f>
        <v>0</v>
      </c>
    </row>
    <row r="146" spans="55:57" x14ac:dyDescent="0.25">
      <c r="BC146">
        <f t="array" ref="BC146">IFERROR(INDEX((FTT),SMALL(IF($BB146=((c_Date)),ROW(FTT)-1,""),COLUMNS($BC146:BC146))),"")</f>
        <v>0</v>
      </c>
      <c r="BD146">
        <f t="array" ref="BD146">IFERROR(INDEX((FTT),SMALL(IF($BB146=((c_Date)),ROW(FTT)-1,""),COLUMNS($BC146:BD146))),"")</f>
        <v>0</v>
      </c>
      <c r="BE146">
        <f t="array" ref="BE146">IFERROR(INDEX((FTT),SMALL(IF($BB146=((c_Date)),ROW(FTT)-1,""),COLUMNS($BC146:BE146))),"")</f>
        <v>0</v>
      </c>
    </row>
    <row r="147" spans="55:57" x14ac:dyDescent="0.25">
      <c r="BC147">
        <f t="array" ref="BC147">IFERROR(INDEX((FTT),SMALL(IF($BB147=((c_Date)),ROW(FTT)-1,""),COLUMNS($BC147:BC147))),"")</f>
        <v>0</v>
      </c>
      <c r="BD147">
        <f t="array" ref="BD147">IFERROR(INDEX((FTT),SMALL(IF($BB147=((c_Date)),ROW(FTT)-1,""),COLUMNS($BC147:BD147))),"")</f>
        <v>0</v>
      </c>
      <c r="BE147">
        <f t="array" ref="BE147">IFERROR(INDEX((FTT),SMALL(IF($BB147=((c_Date)),ROW(FTT)-1,""),COLUMNS($BC147:BE147))),"")</f>
        <v>0</v>
      </c>
    </row>
    <row r="148" spans="55:57" x14ac:dyDescent="0.25">
      <c r="BC148">
        <f t="array" ref="BC148">IFERROR(INDEX((FTT),SMALL(IF($BB148=((c_Date)),ROW(FTT)-1,""),COLUMNS($BC148:BC148))),"")</f>
        <v>0</v>
      </c>
      <c r="BD148">
        <f t="array" ref="BD148">IFERROR(INDEX((FTT),SMALL(IF($BB148=((c_Date)),ROW(FTT)-1,""),COLUMNS($BC148:BD148))),"")</f>
        <v>0</v>
      </c>
      <c r="BE148">
        <f t="array" ref="BE148">IFERROR(INDEX((FTT),SMALL(IF($BB148=((c_Date)),ROW(FTT)-1,""),COLUMNS($BC148:BE148))),"")</f>
        <v>0</v>
      </c>
    </row>
    <row r="149" spans="55:57" x14ac:dyDescent="0.25">
      <c r="BC149">
        <f t="array" ref="BC149">IFERROR(INDEX((FTT),SMALL(IF($BB149=((c_Date)),ROW(FTT)-1,""),COLUMNS($BC149:BC149))),"")</f>
        <v>0</v>
      </c>
      <c r="BD149">
        <f t="array" ref="BD149">IFERROR(INDEX((FTT),SMALL(IF($BB149=((c_Date)),ROW(FTT)-1,""),COLUMNS($BC149:BD149))),"")</f>
        <v>0</v>
      </c>
      <c r="BE149">
        <f t="array" ref="BE149">IFERROR(INDEX((FTT),SMALL(IF($BB149=((c_Date)),ROW(FTT)-1,""),COLUMNS($BC149:BE149))),"")</f>
        <v>0</v>
      </c>
    </row>
    <row r="150" spans="55:57" x14ac:dyDescent="0.25">
      <c r="BC150">
        <f t="array" ref="BC150">IFERROR(INDEX((FTT),SMALL(IF($BB150=((c_Date)),ROW(FTT)-1,""),COLUMNS($BC150:BC150))),"")</f>
        <v>0</v>
      </c>
      <c r="BD150">
        <f t="array" ref="BD150">IFERROR(INDEX((FTT),SMALL(IF($BB150=((c_Date)),ROW(FTT)-1,""),COLUMNS($BC150:BD150))),"")</f>
        <v>0</v>
      </c>
      <c r="BE150">
        <f t="array" ref="BE150">IFERROR(INDEX((FTT),SMALL(IF($BB150=((c_Date)),ROW(FTT)-1,""),COLUMNS($BC150:BE150))),"")</f>
        <v>0</v>
      </c>
    </row>
    <row r="151" spans="55:57" x14ac:dyDescent="0.25">
      <c r="BC151">
        <f t="array" ref="BC151">IFERROR(INDEX((FTT),SMALL(IF($BB151=((c_Date)),ROW(FTT)-1,""),COLUMNS($BC151:BC151))),"")</f>
        <v>0</v>
      </c>
      <c r="BD151">
        <f t="array" ref="BD151">IFERROR(INDEX((FTT),SMALL(IF($BB151=((c_Date)),ROW(FTT)-1,""),COLUMNS($BC151:BD151))),"")</f>
        <v>0</v>
      </c>
      <c r="BE151">
        <f t="array" ref="BE151">IFERROR(INDEX((FTT),SMALL(IF($BB151=((c_Date)),ROW(FTT)-1,""),COLUMNS($BC151:BE151))),"")</f>
        <v>0</v>
      </c>
    </row>
    <row r="152" spans="55:57" x14ac:dyDescent="0.25">
      <c r="BC152">
        <f t="array" ref="BC152">IFERROR(INDEX((FTT),SMALL(IF($BB152=((c_Date)),ROW(FTT)-1,""),COLUMNS($BC152:BC152))),"")</f>
        <v>0</v>
      </c>
      <c r="BD152">
        <f t="array" ref="BD152">IFERROR(INDEX((FTT),SMALL(IF($BB152=((c_Date)),ROW(FTT)-1,""),COLUMNS($BC152:BD152))),"")</f>
        <v>0</v>
      </c>
      <c r="BE152">
        <f t="array" ref="BE152">IFERROR(INDEX((FTT),SMALL(IF($BB152=((c_Date)),ROW(FTT)-1,""),COLUMNS($BC152:BE152))),"")</f>
        <v>0</v>
      </c>
    </row>
    <row r="153" spans="55:57" x14ac:dyDescent="0.25">
      <c r="BC153">
        <f t="array" ref="BC153">IFERROR(INDEX((FTT),SMALL(IF($BB153=((c_Date)),ROW(FTT)-1,""),COLUMNS($BC153:BC153))),"")</f>
        <v>0</v>
      </c>
      <c r="BD153">
        <f t="array" ref="BD153">IFERROR(INDEX((FTT),SMALL(IF($BB153=((c_Date)),ROW(FTT)-1,""),COLUMNS($BC153:BD153))),"")</f>
        <v>0</v>
      </c>
      <c r="BE153">
        <f t="array" ref="BE153">IFERROR(INDEX((FTT),SMALL(IF($BB153=((c_Date)),ROW(FTT)-1,""),COLUMNS($BC153:BE153))),"")</f>
        <v>0</v>
      </c>
    </row>
    <row r="154" spans="55:57" x14ac:dyDescent="0.25">
      <c r="BC154">
        <f t="array" ref="BC154">IFERROR(INDEX((FTT),SMALL(IF($BB154=((c_Date)),ROW(FTT)-1,""),COLUMNS($BC154:BC154))),"")</f>
        <v>0</v>
      </c>
      <c r="BD154">
        <f t="array" ref="BD154">IFERROR(INDEX((FTT),SMALL(IF($BB154=((c_Date)),ROW(FTT)-1,""),COLUMNS($BC154:BD154))),"")</f>
        <v>0</v>
      </c>
      <c r="BE154">
        <f t="array" ref="BE154">IFERROR(INDEX((FTT),SMALL(IF($BB154=((c_Date)),ROW(FTT)-1,""),COLUMNS($BC154:BE154))),"")</f>
        <v>0</v>
      </c>
    </row>
    <row r="155" spans="55:57" x14ac:dyDescent="0.25">
      <c r="BC155">
        <f t="array" ref="BC155">IFERROR(INDEX((FTT),SMALL(IF($BB155=((c_Date)),ROW(FTT)-1,""),COLUMNS($BC155:BC155))),"")</f>
        <v>0</v>
      </c>
      <c r="BD155">
        <f t="array" ref="BD155">IFERROR(INDEX((FTT),SMALL(IF($BB155=((c_Date)),ROW(FTT)-1,""),COLUMNS($BC155:BD155))),"")</f>
        <v>0</v>
      </c>
      <c r="BE155">
        <f t="array" ref="BE155">IFERROR(INDEX((FTT),SMALL(IF($BB155=((c_Date)),ROW(FTT)-1,""),COLUMNS($BC155:BE155))),"")</f>
        <v>0</v>
      </c>
    </row>
    <row r="156" spans="55:57" x14ac:dyDescent="0.25">
      <c r="BC156">
        <f t="array" ref="BC156">IFERROR(INDEX((FTT),SMALL(IF($BB156=((c_Date)),ROW(FTT)-1,""),COLUMNS($BC156:BC156))),"")</f>
        <v>0</v>
      </c>
      <c r="BD156">
        <f t="array" ref="BD156">IFERROR(INDEX((FTT),SMALL(IF($BB156=((c_Date)),ROW(FTT)-1,""),COLUMNS($BC156:BD156))),"")</f>
        <v>0</v>
      </c>
      <c r="BE156">
        <f t="array" ref="BE156">IFERROR(INDEX((FTT),SMALL(IF($BB156=((c_Date)),ROW(FTT)-1,""),COLUMNS($BC156:BE156))),"")</f>
        <v>0</v>
      </c>
    </row>
    <row r="157" spans="55:57" x14ac:dyDescent="0.25">
      <c r="BC157">
        <f t="array" ref="BC157">IFERROR(INDEX((FTT),SMALL(IF($BB157=((c_Date)),ROW(FTT)-1,""),COLUMNS($BC157:BC157))),"")</f>
        <v>0</v>
      </c>
      <c r="BD157">
        <f t="array" ref="BD157">IFERROR(INDEX((FTT),SMALL(IF($BB157=((c_Date)),ROW(FTT)-1,""),COLUMNS($BC157:BD157))),"")</f>
        <v>0</v>
      </c>
      <c r="BE157">
        <f t="array" ref="BE157">IFERROR(INDEX((FTT),SMALL(IF($BB157=((c_Date)),ROW(FTT)-1,""),COLUMNS($BC157:BE157))),"")</f>
        <v>0</v>
      </c>
    </row>
    <row r="158" spans="55:57" x14ac:dyDescent="0.25">
      <c r="BC158">
        <f t="array" ref="BC158">IFERROR(INDEX((FTT),SMALL(IF($BB158=((c_Date)),ROW(FTT)-1,""),COLUMNS($BC158:BC158))),"")</f>
        <v>0</v>
      </c>
      <c r="BD158">
        <f t="array" ref="BD158">IFERROR(INDEX((FTT),SMALL(IF($BB158=((c_Date)),ROW(FTT)-1,""),COLUMNS($BC158:BD158))),"")</f>
        <v>0</v>
      </c>
      <c r="BE158">
        <f t="array" ref="BE158">IFERROR(INDEX((FTT),SMALL(IF($BB158=((c_Date)),ROW(FTT)-1,""),COLUMNS($BC158:BE158))),"")</f>
        <v>0</v>
      </c>
    </row>
    <row r="159" spans="55:57" x14ac:dyDescent="0.25">
      <c r="BC159">
        <f t="array" ref="BC159">IFERROR(INDEX((FTT),SMALL(IF($BB159=((c_Date)),ROW(FTT)-1,""),COLUMNS($BC159:BC159))),"")</f>
        <v>0</v>
      </c>
      <c r="BD159">
        <f t="array" ref="BD159">IFERROR(INDEX((FTT),SMALL(IF($BB159=((c_Date)),ROW(FTT)-1,""),COLUMNS($BC159:BD159))),"")</f>
        <v>0</v>
      </c>
      <c r="BE159">
        <f t="array" ref="BE159">IFERROR(INDEX((FTT),SMALL(IF($BB159=((c_Date)),ROW(FTT)-1,""),COLUMNS($BC159:BE159))),"")</f>
        <v>0</v>
      </c>
    </row>
    <row r="160" spans="55:57" x14ac:dyDescent="0.25">
      <c r="BC160">
        <f t="array" ref="BC160">IFERROR(INDEX((FTT),SMALL(IF($BB160=((c_Date)),ROW(FTT)-1,""),COLUMNS($BC160:BC160))),"")</f>
        <v>0</v>
      </c>
      <c r="BD160">
        <f t="array" ref="BD160">IFERROR(INDEX((FTT),SMALL(IF($BB160=((c_Date)),ROW(FTT)-1,""),COLUMNS($BC160:BD160))),"")</f>
        <v>0</v>
      </c>
      <c r="BE160">
        <f t="array" ref="BE160">IFERROR(INDEX((FTT),SMALL(IF($BB160=((c_Date)),ROW(FTT)-1,""),COLUMNS($BC160:BE160))),"")</f>
        <v>0</v>
      </c>
    </row>
    <row r="161" spans="55:57" x14ac:dyDescent="0.25">
      <c r="BC161">
        <f t="array" ref="BC161">IFERROR(INDEX((FTT),SMALL(IF($BB161=((c_Date)),ROW(FTT)-1,""),COLUMNS($BC161:BC161))),"")</f>
        <v>0</v>
      </c>
      <c r="BD161">
        <f t="array" ref="BD161">IFERROR(INDEX((FTT),SMALL(IF($BB161=((c_Date)),ROW(FTT)-1,""),COLUMNS($BC161:BD161))),"")</f>
        <v>0</v>
      </c>
      <c r="BE161">
        <f t="array" ref="BE161">IFERROR(INDEX((FTT),SMALL(IF($BB161=((c_Date)),ROW(FTT)-1,""),COLUMNS($BC161:BE161))),"")</f>
        <v>0</v>
      </c>
    </row>
    <row r="162" spans="55:57" x14ac:dyDescent="0.25">
      <c r="BC162">
        <f t="array" ref="BC162">IFERROR(INDEX((FTT),SMALL(IF($BB162=((c_Date)),ROW(FTT)-1,""),COLUMNS($BC162:BC162))),"")</f>
        <v>0</v>
      </c>
      <c r="BD162">
        <f t="array" ref="BD162">IFERROR(INDEX((FTT),SMALL(IF($BB162=((c_Date)),ROW(FTT)-1,""),COLUMNS($BC162:BD162))),"")</f>
        <v>0</v>
      </c>
      <c r="BE162">
        <f t="array" ref="BE162">IFERROR(INDEX((FTT),SMALL(IF($BB162=((c_Date)),ROW(FTT)-1,""),COLUMNS($BC162:BE162))),"")</f>
        <v>0</v>
      </c>
    </row>
    <row r="163" spans="55:57" x14ac:dyDescent="0.25">
      <c r="BC163">
        <f t="array" ref="BC163">IFERROR(INDEX((FTT),SMALL(IF($BB163=((c_Date)),ROW(FTT)-1,""),COLUMNS($BC163:BC163))),"")</f>
        <v>0</v>
      </c>
      <c r="BD163">
        <f t="array" ref="BD163">IFERROR(INDEX((FTT),SMALL(IF($BB163=((c_Date)),ROW(FTT)-1,""),COLUMNS($BC163:BD163))),"")</f>
        <v>0</v>
      </c>
      <c r="BE163">
        <f t="array" ref="BE163">IFERROR(INDEX((FTT),SMALL(IF($BB163=((c_Date)),ROW(FTT)-1,""),COLUMNS($BC163:BE163))),"")</f>
        <v>0</v>
      </c>
    </row>
    <row r="164" spans="55:57" x14ac:dyDescent="0.25">
      <c r="BC164">
        <f t="array" ref="BC164">IFERROR(INDEX((FTT),SMALL(IF($BB164=((c_Date)),ROW(FTT)-1,""),COLUMNS($BC164:BC164))),"")</f>
        <v>0</v>
      </c>
      <c r="BD164">
        <f t="array" ref="BD164">IFERROR(INDEX((FTT),SMALL(IF($BB164=((c_Date)),ROW(FTT)-1,""),COLUMNS($BC164:BD164))),"")</f>
        <v>0</v>
      </c>
      <c r="BE164">
        <f t="array" ref="BE164">IFERROR(INDEX((FTT),SMALL(IF($BB164=((c_Date)),ROW(FTT)-1,""),COLUMNS($BC164:BE164))),"")</f>
        <v>0</v>
      </c>
    </row>
    <row r="165" spans="55:57" x14ac:dyDescent="0.25">
      <c r="BC165">
        <f t="array" ref="BC165">IFERROR(INDEX((FTT),SMALL(IF($BB165=((c_Date)),ROW(FTT)-1,""),COLUMNS($BC165:BC165))),"")</f>
        <v>0</v>
      </c>
      <c r="BD165">
        <f t="array" ref="BD165">IFERROR(INDEX((FTT),SMALL(IF($BB165=((c_Date)),ROW(FTT)-1,""),COLUMNS($BC165:BD165))),"")</f>
        <v>0</v>
      </c>
      <c r="BE165">
        <f t="array" ref="BE165">IFERROR(INDEX((FTT),SMALL(IF($BB165=((c_Date)),ROW(FTT)-1,""),COLUMNS($BC165:BE165))),"")</f>
        <v>0</v>
      </c>
    </row>
    <row r="166" spans="55:57" x14ac:dyDescent="0.25">
      <c r="BC166">
        <f t="array" ref="BC166">IFERROR(INDEX((FTT),SMALL(IF($BB166=((c_Date)),ROW(FTT)-1,""),COLUMNS($BC166:BC166))),"")</f>
        <v>0</v>
      </c>
      <c r="BD166">
        <f t="array" ref="BD166">IFERROR(INDEX((FTT),SMALL(IF($BB166=((c_Date)),ROW(FTT)-1,""),COLUMNS($BC166:BD166))),"")</f>
        <v>0</v>
      </c>
      <c r="BE166">
        <f t="array" ref="BE166">IFERROR(INDEX((FTT),SMALL(IF($BB166=((c_Date)),ROW(FTT)-1,""),COLUMNS($BC166:BE166))),"")</f>
        <v>0</v>
      </c>
    </row>
    <row r="167" spans="55:57" x14ac:dyDescent="0.25">
      <c r="BC167">
        <f t="array" ref="BC167">IFERROR(INDEX((FTT),SMALL(IF($BB167=((c_Date)),ROW(FTT)-1,""),COLUMNS($BC167:BC167))),"")</f>
        <v>0</v>
      </c>
      <c r="BD167">
        <f t="array" ref="BD167">IFERROR(INDEX((FTT),SMALL(IF($BB167=((c_Date)),ROW(FTT)-1,""),COLUMNS($BC167:BD167))),"")</f>
        <v>0</v>
      </c>
      <c r="BE167">
        <f t="array" ref="BE167">IFERROR(INDEX((FTT),SMALL(IF($BB167=((c_Date)),ROW(FTT)-1,""),COLUMNS($BC167:BE167))),"")</f>
        <v>0</v>
      </c>
    </row>
    <row r="168" spans="55:57" x14ac:dyDescent="0.25">
      <c r="BC168">
        <f t="array" ref="BC168">IFERROR(INDEX((FTT),SMALL(IF($BB168=((c_Date)),ROW(FTT)-1,""),COLUMNS($BC168:BC168))),"")</f>
        <v>0</v>
      </c>
      <c r="BD168">
        <f t="array" ref="BD168">IFERROR(INDEX((FTT),SMALL(IF($BB168=((c_Date)),ROW(FTT)-1,""),COLUMNS($BC168:BD168))),"")</f>
        <v>0</v>
      </c>
      <c r="BE168">
        <f t="array" ref="BE168">IFERROR(INDEX((FTT),SMALL(IF($BB168=((c_Date)),ROW(FTT)-1,""),COLUMNS($BC168:BE168))),"")</f>
        <v>0</v>
      </c>
    </row>
    <row r="169" spans="55:57" x14ac:dyDescent="0.25">
      <c r="BC169">
        <f t="array" ref="BC169">IFERROR(INDEX((FTT),SMALL(IF($BB169=((c_Date)),ROW(FTT)-1,""),COLUMNS($BC169:BC169))),"")</f>
        <v>0</v>
      </c>
      <c r="BD169">
        <f t="array" ref="BD169">IFERROR(INDEX((FTT),SMALL(IF($BB169=((c_Date)),ROW(FTT)-1,""),COLUMNS($BC169:BD169))),"")</f>
        <v>0</v>
      </c>
      <c r="BE169">
        <f t="array" ref="BE169">IFERROR(INDEX((FTT),SMALL(IF($BB169=((c_Date)),ROW(FTT)-1,""),COLUMNS($BC169:BE169))),"")</f>
        <v>0</v>
      </c>
    </row>
    <row r="170" spans="55:57" x14ac:dyDescent="0.25">
      <c r="BC170">
        <f t="array" ref="BC170">IFERROR(INDEX((FTT),SMALL(IF($BB170=((c_Date)),ROW(FTT)-1,""),COLUMNS($BC170:BC170))),"")</f>
        <v>0</v>
      </c>
      <c r="BD170">
        <f t="array" ref="BD170">IFERROR(INDEX((FTT),SMALL(IF($BB170=((c_Date)),ROW(FTT)-1,""),COLUMNS($BC170:BD170))),"")</f>
        <v>0</v>
      </c>
      <c r="BE170">
        <f t="array" ref="BE170">IFERROR(INDEX((FTT),SMALL(IF($BB170=((c_Date)),ROW(FTT)-1,""),COLUMNS($BC170:BE170))),"")</f>
        <v>0</v>
      </c>
    </row>
    <row r="171" spans="55:57" x14ac:dyDescent="0.25">
      <c r="BC171">
        <f t="array" ref="BC171">IFERROR(INDEX((FTT),SMALL(IF($BB171=((c_Date)),ROW(FTT)-1,""),COLUMNS($BC171:BC171))),"")</f>
        <v>0</v>
      </c>
      <c r="BD171">
        <f t="array" ref="BD171">IFERROR(INDEX((FTT),SMALL(IF($BB171=((c_Date)),ROW(FTT)-1,""),COLUMNS($BC171:BD171))),"")</f>
        <v>0</v>
      </c>
      <c r="BE171">
        <f t="array" ref="BE171">IFERROR(INDEX((FTT),SMALL(IF($BB171=((c_Date)),ROW(FTT)-1,""),COLUMNS($BC171:BE171))),"")</f>
        <v>0</v>
      </c>
    </row>
    <row r="172" spans="55:57" x14ac:dyDescent="0.25">
      <c r="BC172">
        <f t="array" ref="BC172">IFERROR(INDEX((FTT),SMALL(IF($BB172=((c_Date)),ROW(FTT)-1,""),COLUMNS($BC172:BC172))),"")</f>
        <v>0</v>
      </c>
      <c r="BD172">
        <f t="array" ref="BD172">IFERROR(INDEX((FTT),SMALL(IF($BB172=((c_Date)),ROW(FTT)-1,""),COLUMNS($BC172:BD172))),"")</f>
        <v>0</v>
      </c>
      <c r="BE172">
        <f t="array" ref="BE172">IFERROR(INDEX((FTT),SMALL(IF($BB172=((c_Date)),ROW(FTT)-1,""),COLUMNS($BC172:BE172))),"")</f>
        <v>0</v>
      </c>
    </row>
    <row r="173" spans="55:57" x14ac:dyDescent="0.25">
      <c r="BC173">
        <f t="array" ref="BC173">IFERROR(INDEX((FTT),SMALL(IF($BB173=((c_Date)),ROW(FTT)-1,""),COLUMNS($BC173:BC173))),"")</f>
        <v>0</v>
      </c>
      <c r="BD173">
        <f t="array" ref="BD173">IFERROR(INDEX((FTT),SMALL(IF($BB173=((c_Date)),ROW(FTT)-1,""),COLUMNS($BC173:BD173))),"")</f>
        <v>0</v>
      </c>
      <c r="BE173">
        <f t="array" ref="BE173">IFERROR(INDEX((FTT),SMALL(IF($BB173=((c_Date)),ROW(FTT)-1,""),COLUMNS($BC173:BE173))),"")</f>
        <v>0</v>
      </c>
    </row>
    <row r="174" spans="55:57" x14ac:dyDescent="0.25">
      <c r="BC174">
        <f t="array" ref="BC174">IFERROR(INDEX((FTT),SMALL(IF($BB174=((c_Date)),ROW(FTT)-1,""),COLUMNS($BC174:BC174))),"")</f>
        <v>0</v>
      </c>
      <c r="BD174">
        <f t="array" ref="BD174">IFERROR(INDEX((FTT),SMALL(IF($BB174=((c_Date)),ROW(FTT)-1,""),COLUMNS($BC174:BD174))),"")</f>
        <v>0</v>
      </c>
      <c r="BE174">
        <f t="array" ref="BE174">IFERROR(INDEX((FTT),SMALL(IF($BB174=((c_Date)),ROW(FTT)-1,""),COLUMNS($BC174:BE174))),"")</f>
        <v>0</v>
      </c>
    </row>
    <row r="175" spans="55:57" x14ac:dyDescent="0.25">
      <c r="BC175">
        <f t="array" ref="BC175">IFERROR(INDEX((FTT),SMALL(IF($BB175=((c_Date)),ROW(FTT)-1,""),COLUMNS($BC175:BC175))),"")</f>
        <v>0</v>
      </c>
      <c r="BD175">
        <f t="array" ref="BD175">IFERROR(INDEX((FTT),SMALL(IF($BB175=((c_Date)),ROW(FTT)-1,""),COLUMNS($BC175:BD175))),"")</f>
        <v>0</v>
      </c>
      <c r="BE175">
        <f t="array" ref="BE175">IFERROR(INDEX((FTT),SMALL(IF($BB175=((c_Date)),ROW(FTT)-1,""),COLUMNS($BC175:BE175))),"")</f>
        <v>0</v>
      </c>
    </row>
    <row r="176" spans="55:57" x14ac:dyDescent="0.25">
      <c r="BC176">
        <f t="array" ref="BC176">IFERROR(INDEX((FTT),SMALL(IF($BB176=((c_Date)),ROW(FTT)-1,""),COLUMNS($BC176:BC176))),"")</f>
        <v>0</v>
      </c>
      <c r="BD176">
        <f t="array" ref="BD176">IFERROR(INDEX((FTT),SMALL(IF($BB176=((c_Date)),ROW(FTT)-1,""),COLUMNS($BC176:BD176))),"")</f>
        <v>0</v>
      </c>
      <c r="BE176">
        <f t="array" ref="BE176">IFERROR(INDEX((FTT),SMALL(IF($BB176=((c_Date)),ROW(FTT)-1,""),COLUMNS($BC176:BE176))),"")</f>
        <v>0</v>
      </c>
    </row>
    <row r="177" spans="55:57" x14ac:dyDescent="0.25">
      <c r="BC177">
        <f t="array" ref="BC177">IFERROR(INDEX((FTT),SMALL(IF($BB177=((c_Date)),ROW(FTT)-1,""),COLUMNS($BC177:BC177))),"")</f>
        <v>0</v>
      </c>
      <c r="BD177">
        <f t="array" ref="BD177">IFERROR(INDEX((FTT),SMALL(IF($BB177=((c_Date)),ROW(FTT)-1,""),COLUMNS($BC177:BD177))),"")</f>
        <v>0</v>
      </c>
      <c r="BE177">
        <f t="array" ref="BE177">IFERROR(INDEX((FTT),SMALL(IF($BB177=((c_Date)),ROW(FTT)-1,""),COLUMNS($BC177:BE177))),"")</f>
        <v>0</v>
      </c>
    </row>
    <row r="178" spans="55:57" x14ac:dyDescent="0.25">
      <c r="BC178">
        <f t="array" ref="BC178">IFERROR(INDEX((FTT),SMALL(IF($BB178=((c_Date)),ROW(FTT)-1,""),COLUMNS($BC178:BC178))),"")</f>
        <v>0</v>
      </c>
      <c r="BD178">
        <f t="array" ref="BD178">IFERROR(INDEX((FTT),SMALL(IF($BB178=((c_Date)),ROW(FTT)-1,""),COLUMNS($BC178:BD178))),"")</f>
        <v>0</v>
      </c>
      <c r="BE178">
        <f t="array" ref="BE178">IFERROR(INDEX((FTT),SMALL(IF($BB178=((c_Date)),ROW(FTT)-1,""),COLUMNS($BC178:BE178))),"")</f>
        <v>0</v>
      </c>
    </row>
    <row r="179" spans="55:57" x14ac:dyDescent="0.25">
      <c r="BC179">
        <f t="array" ref="BC179">IFERROR(INDEX((FTT),SMALL(IF($BB179=((c_Date)),ROW(FTT)-1,""),COLUMNS($BC179:BC179))),"")</f>
        <v>0</v>
      </c>
      <c r="BD179">
        <f t="array" ref="BD179">IFERROR(INDEX((FTT),SMALL(IF($BB179=((c_Date)),ROW(FTT)-1,""),COLUMNS($BC179:BD179))),"")</f>
        <v>0</v>
      </c>
      <c r="BE179">
        <f t="array" ref="BE179">IFERROR(INDEX((FTT),SMALL(IF($BB179=((c_Date)),ROW(FTT)-1,""),COLUMNS($BC179:BE179))),"")</f>
        <v>0</v>
      </c>
    </row>
    <row r="180" spans="55:57" x14ac:dyDescent="0.25">
      <c r="BC180">
        <f t="array" ref="BC180">IFERROR(INDEX((FTT),SMALL(IF($BB180=((c_Date)),ROW(FTT)-1,""),COLUMNS($BC180:BC180))),"")</f>
        <v>0</v>
      </c>
      <c r="BD180">
        <f t="array" ref="BD180">IFERROR(INDEX((FTT),SMALL(IF($BB180=((c_Date)),ROW(FTT)-1,""),COLUMNS($BC180:BD180))),"")</f>
        <v>0</v>
      </c>
      <c r="BE180">
        <f t="array" ref="BE180">IFERROR(INDEX((FTT),SMALL(IF($BB180=((c_Date)),ROW(FTT)-1,""),COLUMNS($BC180:BE180))),"")</f>
        <v>0</v>
      </c>
    </row>
    <row r="181" spans="55:57" x14ac:dyDescent="0.25">
      <c r="BC181">
        <f t="array" ref="BC181">IFERROR(INDEX((FTT),SMALL(IF($BB181=((c_Date)),ROW(FTT)-1,""),COLUMNS($BC181:BC181))),"")</f>
        <v>0</v>
      </c>
      <c r="BD181">
        <f t="array" ref="BD181">IFERROR(INDEX((FTT),SMALL(IF($BB181=((c_Date)),ROW(FTT)-1,""),COLUMNS($BC181:BD181))),"")</f>
        <v>0</v>
      </c>
      <c r="BE181">
        <f t="array" ref="BE181">IFERROR(INDEX((FTT),SMALL(IF($BB181=((c_Date)),ROW(FTT)-1,""),COLUMNS($BC181:BE181))),"")</f>
        <v>0</v>
      </c>
    </row>
    <row r="182" spans="55:57" x14ac:dyDescent="0.25">
      <c r="BC182">
        <f t="array" ref="BC182">IFERROR(INDEX((FTT),SMALL(IF($BB182=((c_Date)),ROW(FTT)-1,""),COLUMNS($BC182:BC182))),"")</f>
        <v>0</v>
      </c>
      <c r="BD182">
        <f t="array" ref="BD182">IFERROR(INDEX((FTT),SMALL(IF($BB182=((c_Date)),ROW(FTT)-1,""),COLUMNS($BC182:BD182))),"")</f>
        <v>0</v>
      </c>
      <c r="BE182">
        <f t="array" ref="BE182">IFERROR(INDEX((FTT),SMALL(IF($BB182=((c_Date)),ROW(FTT)-1,""),COLUMNS($BC182:BE182))),"")</f>
        <v>0</v>
      </c>
    </row>
    <row r="183" spans="55:57" x14ac:dyDescent="0.25">
      <c r="BC183">
        <f t="array" ref="BC183">IFERROR(INDEX((FTT),SMALL(IF($BB183=((c_Date)),ROW(FTT)-1,""),COLUMNS($BC183:BC183))),"")</f>
        <v>0</v>
      </c>
      <c r="BD183">
        <f t="array" ref="BD183">IFERROR(INDEX((FTT),SMALL(IF($BB183=((c_Date)),ROW(FTT)-1,""),COLUMNS($BC183:BD183))),"")</f>
        <v>0</v>
      </c>
      <c r="BE183">
        <f t="array" ref="BE183">IFERROR(INDEX((FTT),SMALL(IF($BB183=((c_Date)),ROW(FTT)-1,""),COLUMNS($BC183:BE183))),"")</f>
        <v>0</v>
      </c>
    </row>
    <row r="184" spans="55:57" x14ac:dyDescent="0.25">
      <c r="BC184">
        <f t="array" ref="BC184">IFERROR(INDEX((FTT),SMALL(IF($BB184=((c_Date)),ROW(FTT)-1,""),COLUMNS($BC184:BC184))),"")</f>
        <v>0</v>
      </c>
      <c r="BD184">
        <f t="array" ref="BD184">IFERROR(INDEX((FTT),SMALL(IF($BB184=((c_Date)),ROW(FTT)-1,""),COLUMNS($BC184:BD184))),"")</f>
        <v>0</v>
      </c>
      <c r="BE184">
        <f t="array" ref="BE184">IFERROR(INDEX((FTT),SMALL(IF($BB184=((c_Date)),ROW(FTT)-1,""),COLUMNS($BC184:BE184))),"")</f>
        <v>0</v>
      </c>
    </row>
    <row r="185" spans="55:57" x14ac:dyDescent="0.25">
      <c r="BC185">
        <f t="array" ref="BC185">IFERROR(INDEX((FTT),SMALL(IF($BB185=((c_Date)),ROW(FTT)-1,""),COLUMNS($BC185:BC185))),"")</f>
        <v>0</v>
      </c>
      <c r="BD185">
        <f t="array" ref="BD185">IFERROR(INDEX((FTT),SMALL(IF($BB185=((c_Date)),ROW(FTT)-1,""),COLUMNS($BC185:BD185))),"")</f>
        <v>0</v>
      </c>
      <c r="BE185">
        <f t="array" ref="BE185">IFERROR(INDEX((FTT),SMALL(IF($BB185=((c_Date)),ROW(FTT)-1,""),COLUMNS($BC185:BE185))),"")</f>
        <v>0</v>
      </c>
    </row>
    <row r="186" spans="55:57" x14ac:dyDescent="0.25">
      <c r="BC186">
        <f t="array" ref="BC186">IFERROR(INDEX((FTT),SMALL(IF($BB186=((c_Date)),ROW(FTT)-1,""),COLUMNS($BC186:BC186))),"")</f>
        <v>0</v>
      </c>
      <c r="BD186">
        <f t="array" ref="BD186">IFERROR(INDEX((FTT),SMALL(IF($BB186=((c_Date)),ROW(FTT)-1,""),COLUMNS($BC186:BD186))),"")</f>
        <v>0</v>
      </c>
      <c r="BE186">
        <f t="array" ref="BE186">IFERROR(INDEX((FTT),SMALL(IF($BB186=((c_Date)),ROW(FTT)-1,""),COLUMNS($BC186:BE186))),"")</f>
        <v>0</v>
      </c>
    </row>
    <row r="187" spans="55:57" x14ac:dyDescent="0.25">
      <c r="BC187">
        <f t="array" ref="BC187">IFERROR(INDEX((FTT),SMALL(IF($BB187=((c_Date)),ROW(FTT)-1,""),COLUMNS($BC187:BC187))),"")</f>
        <v>0</v>
      </c>
      <c r="BD187">
        <f t="array" ref="BD187">IFERROR(INDEX((FTT),SMALL(IF($BB187=((c_Date)),ROW(FTT)-1,""),COLUMNS($BC187:BD187))),"")</f>
        <v>0</v>
      </c>
      <c r="BE187">
        <f t="array" ref="BE187">IFERROR(INDEX((FTT),SMALL(IF($BB187=((c_Date)),ROW(FTT)-1,""),COLUMNS($BC187:BE187))),"")</f>
        <v>0</v>
      </c>
    </row>
    <row r="188" spans="55:57" x14ac:dyDescent="0.25">
      <c r="BC188">
        <f t="array" ref="BC188">IFERROR(INDEX((FTT),SMALL(IF($BB188=((c_Date)),ROW(FTT)-1,""),COLUMNS($BC188:BC188))),"")</f>
        <v>0</v>
      </c>
      <c r="BD188">
        <f t="array" ref="BD188">IFERROR(INDEX((FTT),SMALL(IF($BB188=((c_Date)),ROW(FTT)-1,""),COLUMNS($BC188:BD188))),"")</f>
        <v>0</v>
      </c>
      <c r="BE188">
        <f t="array" ref="BE188">IFERROR(INDEX((FTT),SMALL(IF($BB188=((c_Date)),ROW(FTT)-1,""),COLUMNS($BC188:BE188))),"")</f>
        <v>0</v>
      </c>
    </row>
    <row r="189" spans="55:57" x14ac:dyDescent="0.25">
      <c r="BC189">
        <f t="array" ref="BC189">IFERROR(INDEX((FTT),SMALL(IF($BB189=((c_Date)),ROW(FTT)-1,""),COLUMNS($BC189:BC189))),"")</f>
        <v>0</v>
      </c>
      <c r="BD189">
        <f t="array" ref="BD189">IFERROR(INDEX((FTT),SMALL(IF($BB189=((c_Date)),ROW(FTT)-1,""),COLUMNS($BC189:BD189))),"")</f>
        <v>0</v>
      </c>
      <c r="BE189">
        <f t="array" ref="BE189">IFERROR(INDEX((FTT),SMALL(IF($BB189=((c_Date)),ROW(FTT)-1,""),COLUMNS($BC189:BE189))),"")</f>
        <v>0</v>
      </c>
    </row>
    <row r="190" spans="55:57" x14ac:dyDescent="0.25">
      <c r="BC190">
        <f t="array" ref="BC190">IFERROR(INDEX((FTT),SMALL(IF($BB190=((c_Date)),ROW(FTT)-1,""),COLUMNS($BC190:BC190))),"")</f>
        <v>0</v>
      </c>
      <c r="BD190">
        <f t="array" ref="BD190">IFERROR(INDEX((FTT),SMALL(IF($BB190=((c_Date)),ROW(FTT)-1,""),COLUMNS($BC190:BD190))),"")</f>
        <v>0</v>
      </c>
      <c r="BE190">
        <f t="array" ref="BE190">IFERROR(INDEX((FTT),SMALL(IF($BB190=((c_Date)),ROW(FTT)-1,""),COLUMNS($BC190:BE190))),"")</f>
        <v>0</v>
      </c>
    </row>
    <row r="191" spans="55:57" x14ac:dyDescent="0.25">
      <c r="BC191">
        <f t="array" ref="BC191">IFERROR(INDEX((FTT),SMALL(IF($BB191=((c_Date)),ROW(FTT)-1,""),COLUMNS($BC191:BC191))),"")</f>
        <v>0</v>
      </c>
      <c r="BD191">
        <f t="array" ref="BD191">IFERROR(INDEX((FTT),SMALL(IF($BB191=((c_Date)),ROW(FTT)-1,""),COLUMNS($BC191:BD191))),"")</f>
        <v>0</v>
      </c>
      <c r="BE191">
        <f t="array" ref="BE191">IFERROR(INDEX((FTT),SMALL(IF($BB191=((c_Date)),ROW(FTT)-1,""),COLUMNS($BC191:BE191))),"")</f>
        <v>0</v>
      </c>
    </row>
    <row r="192" spans="55:57" x14ac:dyDescent="0.25">
      <c r="BC192">
        <f t="array" ref="BC192">IFERROR(INDEX((FTT),SMALL(IF($BB192=((c_Date)),ROW(FTT)-1,""),COLUMNS($BC192:BC192))),"")</f>
        <v>0</v>
      </c>
      <c r="BD192">
        <f t="array" ref="BD192">IFERROR(INDEX((FTT),SMALL(IF($BB192=((c_Date)),ROW(FTT)-1,""),COLUMNS($BC192:BD192))),"")</f>
        <v>0</v>
      </c>
      <c r="BE192">
        <f t="array" ref="BE192">IFERROR(INDEX((FTT),SMALL(IF($BB192=((c_Date)),ROW(FTT)-1,""),COLUMNS($BC192:BE192))),"")</f>
        <v>0</v>
      </c>
    </row>
    <row r="193" spans="55:57" x14ac:dyDescent="0.25">
      <c r="BC193">
        <f t="array" ref="BC193">IFERROR(INDEX((FTT),SMALL(IF($BB193=((c_Date)),ROW(FTT)-1,""),COLUMNS($BC193:BC193))),"")</f>
        <v>0</v>
      </c>
      <c r="BD193">
        <f t="array" ref="BD193">IFERROR(INDEX((FTT),SMALL(IF($BB193=((c_Date)),ROW(FTT)-1,""),COLUMNS($BC193:BD193))),"")</f>
        <v>0</v>
      </c>
      <c r="BE193">
        <f t="array" ref="BE193">IFERROR(INDEX((FTT),SMALL(IF($BB193=((c_Date)),ROW(FTT)-1,""),COLUMNS($BC193:BE193))),"")</f>
        <v>0</v>
      </c>
    </row>
    <row r="194" spans="55:57" x14ac:dyDescent="0.25">
      <c r="BC194">
        <f t="array" ref="BC194">IFERROR(INDEX((FTT),SMALL(IF($BB194=((c_Date)),ROW(FTT)-1,""),COLUMNS($BC194:BC194))),"")</f>
        <v>0</v>
      </c>
      <c r="BD194">
        <f t="array" ref="BD194">IFERROR(INDEX((FTT),SMALL(IF($BB194=((c_Date)),ROW(FTT)-1,""),COLUMNS($BC194:BD194))),"")</f>
        <v>0</v>
      </c>
      <c r="BE194">
        <f t="array" ref="BE194">IFERROR(INDEX((FTT),SMALL(IF($BB194=((c_Date)),ROW(FTT)-1,""),COLUMNS($BC194:BE194))),"")</f>
        <v>0</v>
      </c>
    </row>
    <row r="195" spans="55:57" x14ac:dyDescent="0.25">
      <c r="BC195">
        <f t="array" ref="BC195">IFERROR(INDEX((FTT),SMALL(IF($BB195=((c_Date)),ROW(FTT)-1,""),COLUMNS($BC195:BC195))),"")</f>
        <v>0</v>
      </c>
      <c r="BD195">
        <f t="array" ref="BD195">IFERROR(INDEX((FTT),SMALL(IF($BB195=((c_Date)),ROW(FTT)-1,""),COLUMNS($BC195:BD195))),"")</f>
        <v>0</v>
      </c>
      <c r="BE195">
        <f t="array" ref="BE195">IFERROR(INDEX((FTT),SMALL(IF($BB195=((c_Date)),ROW(FTT)-1,""),COLUMNS($BC195:BE195))),"")</f>
        <v>0</v>
      </c>
    </row>
    <row r="196" spans="55:57" x14ac:dyDescent="0.25">
      <c r="BC196">
        <f t="array" ref="BC196">IFERROR(INDEX((FTT),SMALL(IF($BB196=((c_Date)),ROW(FTT)-1,""),COLUMNS($BC196:BC196))),"")</f>
        <v>0</v>
      </c>
      <c r="BD196">
        <f t="array" ref="BD196">IFERROR(INDEX((FTT),SMALL(IF($BB196=((c_Date)),ROW(FTT)-1,""),COLUMNS($BC196:BD196))),"")</f>
        <v>0</v>
      </c>
      <c r="BE196">
        <f t="array" ref="BE196">IFERROR(INDEX((FTT),SMALL(IF($BB196=((c_Date)),ROW(FTT)-1,""),COLUMNS($BC196:BE196))),"")</f>
        <v>0</v>
      </c>
    </row>
    <row r="197" spans="55:57" x14ac:dyDescent="0.25">
      <c r="BC197">
        <f t="array" ref="BC197">IFERROR(INDEX((FTT),SMALL(IF($BB197=((c_Date)),ROW(FTT)-1,""),COLUMNS($BC197:BC197))),"")</f>
        <v>0</v>
      </c>
      <c r="BD197">
        <f t="array" ref="BD197">IFERROR(INDEX((FTT),SMALL(IF($BB197=((c_Date)),ROW(FTT)-1,""),COLUMNS($BC197:BD197))),"")</f>
        <v>0</v>
      </c>
      <c r="BE197">
        <f t="array" ref="BE197">IFERROR(INDEX((FTT),SMALL(IF($BB197=((c_Date)),ROW(FTT)-1,""),COLUMNS($BC197:BE197))),"")</f>
        <v>0</v>
      </c>
    </row>
    <row r="198" spans="55:57" x14ac:dyDescent="0.25">
      <c r="BC198">
        <f t="array" ref="BC198">IFERROR(INDEX((FTT),SMALL(IF($BB198=((c_Date)),ROW(FTT)-1,""),COLUMNS($BC198:BC198))),"")</f>
        <v>0</v>
      </c>
      <c r="BD198">
        <f t="array" ref="BD198">IFERROR(INDEX((FTT),SMALL(IF($BB198=((c_Date)),ROW(FTT)-1,""),COLUMNS($BC198:BD198))),"")</f>
        <v>0</v>
      </c>
      <c r="BE198">
        <f t="array" ref="BE198">IFERROR(INDEX((FTT),SMALL(IF($BB198=((c_Date)),ROW(FTT)-1,""),COLUMNS($BC198:BE198))),"")</f>
        <v>0</v>
      </c>
    </row>
    <row r="199" spans="55:57" x14ac:dyDescent="0.25">
      <c r="BC199">
        <f t="array" ref="BC199">IFERROR(INDEX((FTT),SMALL(IF($BB199=((c_Date)),ROW(FTT)-1,""),COLUMNS($BC199:BC199))),"")</f>
        <v>0</v>
      </c>
      <c r="BD199">
        <f t="array" ref="BD199">IFERROR(INDEX((FTT),SMALL(IF($BB199=((c_Date)),ROW(FTT)-1,""),COLUMNS($BC199:BD199))),"")</f>
        <v>0</v>
      </c>
      <c r="BE199">
        <f t="array" ref="BE199">IFERROR(INDEX((FTT),SMALL(IF($BB199=((c_Date)),ROW(FTT)-1,""),COLUMNS($BC199:BE199))),"")</f>
        <v>0</v>
      </c>
    </row>
    <row r="200" spans="55:57" x14ac:dyDescent="0.25">
      <c r="BC200">
        <f t="array" ref="BC200">IFERROR(INDEX((FTT),SMALL(IF($BB200=((c_Date)),ROW(FTT)-1,""),COLUMNS($BC200:BC200))),"")</f>
        <v>0</v>
      </c>
      <c r="BD200">
        <f t="array" ref="BD200">IFERROR(INDEX((FTT),SMALL(IF($BB200=((c_Date)),ROW(FTT)-1,""),COLUMNS($BC200:BD200))),"")</f>
        <v>0</v>
      </c>
      <c r="BE200">
        <f t="array" ref="BE200">IFERROR(INDEX((FTT),SMALL(IF($BB200=((c_Date)),ROW(FTT)-1,""),COLUMNS($BC200:BE200))),"")</f>
        <v>0</v>
      </c>
    </row>
  </sheetData>
  <pageMargins left="0.7" right="0.7" top="0.75" bottom="0.75" header="0.3" footer="0.3"/>
  <pageSetup paperSize="9" orientation="portrait" r:id="rId1"/>
  <headerFooter>
    <oddFooter>&amp;L&amp;1#&amp;"Calibri"&amp;6&amp;K737373BUSINESS DOCUMENT  This document is intended for business use and should be distributed to intended recipients only.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view="pageBreakPreview" zoomScaleNormal="100" zoomScaleSheetLayoutView="100" workbookViewId="0">
      <selection activeCell="S19" sqref="S19"/>
    </sheetView>
  </sheetViews>
  <sheetFormatPr defaultRowHeight="15" x14ac:dyDescent="0.25"/>
  <sheetData>
    <row r="1" ht="30" customHeight="1" x14ac:dyDescent="0.25"/>
  </sheetData>
  <pageMargins left="0.7" right="0.7" top="0.75" bottom="0.75" header="0.3" footer="0.3"/>
  <pageSetup paperSize="9" orientation="portrait" r:id="rId1"/>
  <headerFooter>
    <oddFooter>&amp;L&amp;1#&amp;"Calibri"&amp;6&amp;K737373BUSINESS DOCUMENT  This document is intended for business use and should be distributed to intended recipients only.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show_userform">
                <anchor moveWithCells="1" sizeWithCells="1">
                  <from>
                    <xdr:col>3</xdr:col>
                    <xdr:colOff>104775</xdr:colOff>
                    <xdr:row>5</xdr:row>
                    <xdr:rowOff>133350</xdr:rowOff>
                  </from>
                  <to>
                    <xdr:col>6</xdr:col>
                    <xdr:colOff>466725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U2:AL24"/>
  <sheetViews>
    <sheetView workbookViewId="0">
      <selection activeCell="I27" sqref="I27"/>
    </sheetView>
  </sheetViews>
  <sheetFormatPr defaultRowHeight="15" x14ac:dyDescent="0.25"/>
  <sheetData>
    <row r="2" spans="21:38" x14ac:dyDescent="0.25">
      <c r="V2" s="2" t="s">
        <v>0</v>
      </c>
      <c r="W2" s="2" t="s">
        <v>1</v>
      </c>
      <c r="X2" s="3" t="s">
        <v>2</v>
      </c>
      <c r="Y2" s="3">
        <v>12</v>
      </c>
      <c r="Z2" s="3" t="s">
        <v>3</v>
      </c>
      <c r="AA2" s="3" t="s">
        <v>3</v>
      </c>
      <c r="AB2" s="3" t="s">
        <v>3</v>
      </c>
      <c r="AC2" s="3" t="s">
        <v>3</v>
      </c>
      <c r="AD2" s="3">
        <v>1</v>
      </c>
      <c r="AE2" s="3" t="s">
        <v>3</v>
      </c>
      <c r="AF2" s="3" t="s">
        <v>3</v>
      </c>
      <c r="AG2" s="3" t="s">
        <v>3</v>
      </c>
      <c r="AH2" s="3" t="s">
        <v>3</v>
      </c>
      <c r="AI2" s="3" t="s">
        <v>2</v>
      </c>
      <c r="AJ2" s="2" t="s">
        <v>0</v>
      </c>
      <c r="AK2" s="2" t="s">
        <v>1</v>
      </c>
      <c r="AL2" s="4">
        <v>1</v>
      </c>
    </row>
    <row r="3" spans="21:38" x14ac:dyDescent="0.25">
      <c r="V3" s="2" t="s">
        <v>4</v>
      </c>
      <c r="W3" s="2" t="s">
        <v>1</v>
      </c>
      <c r="X3" s="3" t="s">
        <v>5</v>
      </c>
      <c r="Y3" s="3" t="s">
        <v>3</v>
      </c>
      <c r="Z3" s="3">
        <v>11</v>
      </c>
      <c r="AA3" s="3" t="s">
        <v>3</v>
      </c>
      <c r="AB3" s="3" t="s">
        <v>3</v>
      </c>
      <c r="AC3" s="3" t="s">
        <v>3</v>
      </c>
      <c r="AD3" s="3" t="s">
        <v>3</v>
      </c>
      <c r="AE3" s="3">
        <v>2</v>
      </c>
      <c r="AF3" s="3" t="s">
        <v>3</v>
      </c>
      <c r="AG3" s="3" t="s">
        <v>3</v>
      </c>
      <c r="AH3" s="3" t="s">
        <v>3</v>
      </c>
      <c r="AI3" s="3" t="s">
        <v>5</v>
      </c>
      <c r="AJ3" s="2" t="s">
        <v>4</v>
      </c>
      <c r="AK3" s="2" t="s">
        <v>1</v>
      </c>
      <c r="AL3" s="4">
        <v>2</v>
      </c>
    </row>
    <row r="4" spans="21:38" x14ac:dyDescent="0.25">
      <c r="V4" s="2" t="s">
        <v>6</v>
      </c>
      <c r="W4" s="2" t="s">
        <v>1</v>
      </c>
      <c r="X4" s="3" t="s">
        <v>7</v>
      </c>
      <c r="Y4" s="3" t="s">
        <v>3</v>
      </c>
      <c r="Z4" s="3" t="s">
        <v>3</v>
      </c>
      <c r="AA4" s="3">
        <v>10</v>
      </c>
      <c r="AB4" s="3" t="s">
        <v>3</v>
      </c>
      <c r="AC4" s="3" t="s">
        <v>3</v>
      </c>
      <c r="AD4" s="3" t="s">
        <v>3</v>
      </c>
      <c r="AE4" s="3" t="s">
        <v>3</v>
      </c>
      <c r="AF4" s="3">
        <v>3</v>
      </c>
      <c r="AG4" s="3" t="s">
        <v>3</v>
      </c>
      <c r="AH4" s="3" t="s">
        <v>3</v>
      </c>
      <c r="AI4" s="3" t="s">
        <v>7</v>
      </c>
      <c r="AJ4" s="2" t="s">
        <v>6</v>
      </c>
      <c r="AK4" s="2" t="s">
        <v>1</v>
      </c>
      <c r="AL4" s="4">
        <v>3</v>
      </c>
    </row>
    <row r="5" spans="21:38" x14ac:dyDescent="0.25">
      <c r="V5" s="2" t="s">
        <v>8</v>
      </c>
      <c r="W5" s="2" t="s">
        <v>1</v>
      </c>
      <c r="X5" s="3" t="s">
        <v>9</v>
      </c>
      <c r="Y5" s="3" t="s">
        <v>3</v>
      </c>
      <c r="Z5" s="3" t="s">
        <v>3</v>
      </c>
      <c r="AA5" s="3" t="s">
        <v>3</v>
      </c>
      <c r="AB5" s="3">
        <v>9</v>
      </c>
      <c r="AC5" s="3" t="s">
        <v>3</v>
      </c>
      <c r="AD5" s="3" t="s">
        <v>3</v>
      </c>
      <c r="AE5" s="3" t="s">
        <v>3</v>
      </c>
      <c r="AF5" s="3" t="s">
        <v>3</v>
      </c>
      <c r="AG5" s="3">
        <v>4</v>
      </c>
      <c r="AH5" s="3" t="s">
        <v>3</v>
      </c>
      <c r="AI5" s="3" t="s">
        <v>9</v>
      </c>
      <c r="AJ5" s="2" t="s">
        <v>8</v>
      </c>
      <c r="AK5" s="2" t="s">
        <v>1</v>
      </c>
      <c r="AL5" s="4">
        <v>4</v>
      </c>
    </row>
    <row r="6" spans="21:38" x14ac:dyDescent="0.25">
      <c r="V6" s="2" t="s">
        <v>10</v>
      </c>
      <c r="W6" s="2" t="s">
        <v>1</v>
      </c>
      <c r="X6" s="3" t="s">
        <v>11</v>
      </c>
      <c r="Y6" s="3" t="s">
        <v>3</v>
      </c>
      <c r="Z6" s="3" t="s">
        <v>3</v>
      </c>
      <c r="AA6" s="3" t="s">
        <v>3</v>
      </c>
      <c r="AB6" s="3" t="s">
        <v>3</v>
      </c>
      <c r="AC6" s="3">
        <v>8</v>
      </c>
      <c r="AD6" s="3" t="s">
        <v>3</v>
      </c>
      <c r="AE6" s="3" t="s">
        <v>3</v>
      </c>
      <c r="AF6" s="3" t="s">
        <v>3</v>
      </c>
      <c r="AG6" s="3" t="s">
        <v>3</v>
      </c>
      <c r="AH6" s="3">
        <v>5</v>
      </c>
      <c r="AI6" s="3" t="s">
        <v>11</v>
      </c>
      <c r="AJ6" s="2" t="s">
        <v>10</v>
      </c>
      <c r="AK6" s="2" t="s">
        <v>1</v>
      </c>
      <c r="AL6" s="4">
        <v>5</v>
      </c>
    </row>
    <row r="7" spans="21:38" x14ac:dyDescent="0.25">
      <c r="V7" s="2" t="s">
        <v>12</v>
      </c>
      <c r="W7" s="2" t="s">
        <v>13</v>
      </c>
      <c r="X7" s="3" t="s">
        <v>2</v>
      </c>
      <c r="Y7" s="3">
        <v>7</v>
      </c>
      <c r="Z7" s="3" t="s">
        <v>3</v>
      </c>
      <c r="AA7" s="3" t="s">
        <v>3</v>
      </c>
      <c r="AB7" s="3" t="s">
        <v>3</v>
      </c>
      <c r="AC7" s="3" t="s">
        <v>3</v>
      </c>
      <c r="AD7" s="3">
        <v>6</v>
      </c>
      <c r="AE7" s="3" t="s">
        <v>3</v>
      </c>
      <c r="AF7" s="3" t="s">
        <v>3</v>
      </c>
      <c r="AG7" s="3" t="s">
        <v>3</v>
      </c>
      <c r="AH7" s="3" t="s">
        <v>3</v>
      </c>
      <c r="AI7" s="3" t="s">
        <v>2</v>
      </c>
      <c r="AJ7" s="2" t="s">
        <v>12</v>
      </c>
      <c r="AK7" s="2" t="s">
        <v>13</v>
      </c>
      <c r="AL7" s="4">
        <v>6</v>
      </c>
    </row>
    <row r="8" spans="21:38" x14ac:dyDescent="0.25">
      <c r="V8" s="2" t="s">
        <v>14</v>
      </c>
      <c r="W8" s="2" t="s">
        <v>13</v>
      </c>
      <c r="X8" s="3" t="s">
        <v>5</v>
      </c>
      <c r="Y8" s="3" t="s">
        <v>3</v>
      </c>
      <c r="Z8" s="3">
        <v>6</v>
      </c>
      <c r="AA8" s="3" t="s">
        <v>3</v>
      </c>
      <c r="AB8" s="3" t="s">
        <v>3</v>
      </c>
      <c r="AC8" s="3" t="s">
        <v>3</v>
      </c>
      <c r="AD8" s="3" t="s">
        <v>3</v>
      </c>
      <c r="AE8" s="3">
        <v>7</v>
      </c>
      <c r="AF8" s="3" t="s">
        <v>3</v>
      </c>
      <c r="AG8" s="3" t="s">
        <v>3</v>
      </c>
      <c r="AH8" s="3" t="s">
        <v>3</v>
      </c>
      <c r="AI8" s="3" t="s">
        <v>5</v>
      </c>
      <c r="AJ8" s="2" t="s">
        <v>14</v>
      </c>
      <c r="AK8" s="2" t="s">
        <v>13</v>
      </c>
      <c r="AL8" s="4">
        <v>7</v>
      </c>
    </row>
    <row r="9" spans="21:38" x14ac:dyDescent="0.25">
      <c r="V9" s="2" t="s">
        <v>15</v>
      </c>
      <c r="W9" s="2" t="s">
        <v>13</v>
      </c>
      <c r="X9" s="3" t="s">
        <v>7</v>
      </c>
      <c r="Y9" s="3" t="s">
        <v>3</v>
      </c>
      <c r="Z9" s="3" t="s">
        <v>3</v>
      </c>
      <c r="AA9" s="3">
        <v>5</v>
      </c>
      <c r="AB9" s="3" t="s">
        <v>3</v>
      </c>
      <c r="AC9" s="3" t="s">
        <v>3</v>
      </c>
      <c r="AD9" s="3" t="s">
        <v>3</v>
      </c>
      <c r="AE9" s="3" t="s">
        <v>3</v>
      </c>
      <c r="AF9" s="3">
        <v>8</v>
      </c>
      <c r="AG9" s="3" t="s">
        <v>3</v>
      </c>
      <c r="AH9" s="3" t="s">
        <v>3</v>
      </c>
      <c r="AI9" s="3" t="s">
        <v>7</v>
      </c>
      <c r="AJ9" s="2" t="s">
        <v>15</v>
      </c>
      <c r="AK9" s="2" t="s">
        <v>13</v>
      </c>
      <c r="AL9" s="4">
        <v>8</v>
      </c>
    </row>
    <row r="10" spans="21:38" x14ac:dyDescent="0.25">
      <c r="V10" s="2" t="s">
        <v>16</v>
      </c>
      <c r="W10" s="2" t="s">
        <v>13</v>
      </c>
      <c r="X10" s="3" t="s">
        <v>9</v>
      </c>
      <c r="Y10" s="3" t="s">
        <v>3</v>
      </c>
      <c r="Z10" s="3" t="s">
        <v>3</v>
      </c>
      <c r="AA10" s="3" t="s">
        <v>3</v>
      </c>
      <c r="AB10" s="3">
        <v>4</v>
      </c>
      <c r="AC10" s="3" t="s">
        <v>3</v>
      </c>
      <c r="AD10" s="3" t="s">
        <v>3</v>
      </c>
      <c r="AE10" s="3" t="s">
        <v>3</v>
      </c>
      <c r="AF10" s="3" t="s">
        <v>3</v>
      </c>
      <c r="AG10" s="3">
        <v>9</v>
      </c>
      <c r="AH10" s="3" t="s">
        <v>3</v>
      </c>
      <c r="AI10" s="3" t="s">
        <v>9</v>
      </c>
      <c r="AJ10" s="2" t="s">
        <v>16</v>
      </c>
      <c r="AK10" s="2" t="s">
        <v>13</v>
      </c>
      <c r="AL10" s="4">
        <v>9</v>
      </c>
    </row>
    <row r="11" spans="21:38" x14ac:dyDescent="0.25">
      <c r="V11" s="2" t="s">
        <v>17</v>
      </c>
      <c r="W11" s="2" t="s">
        <v>13</v>
      </c>
      <c r="X11" s="3" t="s">
        <v>11</v>
      </c>
      <c r="Y11" s="3" t="s">
        <v>3</v>
      </c>
      <c r="Z11" s="3" t="s">
        <v>3</v>
      </c>
      <c r="AA11" s="3" t="s">
        <v>3</v>
      </c>
      <c r="AB11" s="3" t="s">
        <v>3</v>
      </c>
      <c r="AC11" s="3">
        <v>3</v>
      </c>
      <c r="AD11" s="3" t="s">
        <v>3</v>
      </c>
      <c r="AE11" s="3" t="s">
        <v>3</v>
      </c>
      <c r="AF11" s="3" t="s">
        <v>3</v>
      </c>
      <c r="AG11" s="3" t="s">
        <v>3</v>
      </c>
      <c r="AH11" s="3">
        <v>10</v>
      </c>
      <c r="AI11" s="3" t="s">
        <v>11</v>
      </c>
      <c r="AJ11" s="2" t="s">
        <v>17</v>
      </c>
      <c r="AK11" s="2" t="s">
        <v>13</v>
      </c>
      <c r="AL11" s="4">
        <v>10</v>
      </c>
    </row>
    <row r="12" spans="21:38" x14ac:dyDescent="0.25">
      <c r="V12" s="2" t="s">
        <v>18</v>
      </c>
      <c r="W12" s="2" t="s">
        <v>19</v>
      </c>
      <c r="X12" s="3" t="s">
        <v>2</v>
      </c>
      <c r="Y12" s="3">
        <v>2</v>
      </c>
      <c r="Z12" s="3" t="s">
        <v>3</v>
      </c>
      <c r="AA12" s="3" t="s">
        <v>3</v>
      </c>
      <c r="AB12" s="3" t="s">
        <v>3</v>
      </c>
      <c r="AC12" s="3" t="s">
        <v>3</v>
      </c>
      <c r="AD12" s="3">
        <v>11</v>
      </c>
      <c r="AE12" s="3" t="s">
        <v>3</v>
      </c>
      <c r="AF12" s="3" t="s">
        <v>3</v>
      </c>
      <c r="AG12" s="3" t="s">
        <v>3</v>
      </c>
      <c r="AH12" s="3" t="s">
        <v>3</v>
      </c>
      <c r="AI12" s="3" t="s">
        <v>2</v>
      </c>
      <c r="AJ12" s="2" t="s">
        <v>18</v>
      </c>
      <c r="AK12" s="2" t="s">
        <v>19</v>
      </c>
      <c r="AL12" s="4">
        <v>11</v>
      </c>
    </row>
    <row r="13" spans="21:38" x14ac:dyDescent="0.25">
      <c r="V13" s="2" t="s">
        <v>20</v>
      </c>
      <c r="W13" s="2" t="s">
        <v>19</v>
      </c>
      <c r="X13" s="3" t="s">
        <v>5</v>
      </c>
      <c r="Y13" s="3" t="s">
        <v>3</v>
      </c>
      <c r="Z13" s="3">
        <v>1</v>
      </c>
      <c r="AA13" s="3" t="s">
        <v>3</v>
      </c>
      <c r="AB13" s="3" t="s">
        <v>3</v>
      </c>
      <c r="AC13" s="3" t="s">
        <v>3</v>
      </c>
      <c r="AD13" s="3" t="s">
        <v>3</v>
      </c>
      <c r="AE13" s="3">
        <v>12</v>
      </c>
      <c r="AF13" s="3" t="s">
        <v>3</v>
      </c>
      <c r="AG13" s="3" t="s">
        <v>3</v>
      </c>
      <c r="AH13" s="3" t="s">
        <v>3</v>
      </c>
      <c r="AI13" s="3" t="s">
        <v>5</v>
      </c>
      <c r="AJ13" s="2" t="s">
        <v>20</v>
      </c>
      <c r="AK13" s="2" t="s">
        <v>19</v>
      </c>
      <c r="AL13" s="4">
        <v>12</v>
      </c>
    </row>
    <row r="16" spans="21:38" x14ac:dyDescent="0.25">
      <c r="U16" s="5" t="s">
        <v>21</v>
      </c>
      <c r="V16" s="5"/>
      <c r="W16" s="5"/>
      <c r="X16" s="5"/>
      <c r="AB16" s="5" t="s">
        <v>27</v>
      </c>
      <c r="AC16" s="5"/>
      <c r="AD16" s="5"/>
      <c r="AE16" s="5"/>
      <c r="AF16" s="5"/>
    </row>
    <row r="17" spans="21:32" x14ac:dyDescent="0.25">
      <c r="U17" s="2" t="s">
        <v>22</v>
      </c>
      <c r="V17" s="4" t="s">
        <v>23</v>
      </c>
      <c r="W17" s="4" t="s">
        <v>24</v>
      </c>
      <c r="X17" s="4" t="s">
        <v>25</v>
      </c>
      <c r="AB17" s="2" t="s">
        <v>22</v>
      </c>
      <c r="AC17" s="4" t="s">
        <v>23</v>
      </c>
      <c r="AD17" s="4" t="s">
        <v>28</v>
      </c>
      <c r="AE17" s="4" t="s">
        <v>25</v>
      </c>
    </row>
    <row r="18" spans="21:32" x14ac:dyDescent="0.25">
      <c r="U18" t="s">
        <v>26</v>
      </c>
      <c r="V18" s="4" t="s">
        <v>5</v>
      </c>
      <c r="W18" s="4">
        <v>1</v>
      </c>
      <c r="X18" s="4" t="e">
        <f>INDEX(P:R,MATCH(U18,P:P,0),3)</f>
        <v>#N/A</v>
      </c>
      <c r="AB18" t="s">
        <v>26</v>
      </c>
      <c r="AC18" s="4" t="s">
        <v>5</v>
      </c>
      <c r="AD18" s="4">
        <v>2</v>
      </c>
      <c r="AE18" s="4" t="e">
        <f>INDEX(P:R,MATCH(AB18,P:P,0),3)</f>
        <v>#N/A</v>
      </c>
    </row>
    <row r="19" spans="21:32" x14ac:dyDescent="0.25">
      <c r="U19" t="e">
        <f t="shared" ref="U19:U23" si="0">AND($V$18=$V$19:$V$28)</f>
        <v>#N/A</v>
      </c>
      <c r="V19" s="4" t="e">
        <f>INDEX($V$2:$AC$13,MATCH($W$18,Y2:Y13,0),3)</f>
        <v>#N/A</v>
      </c>
      <c r="W19" s="4" t="e">
        <f>INDEX(V2:AC13,MATCH(W18,Y2:Y13,0),1)</f>
        <v>#N/A</v>
      </c>
      <c r="X19" s="4" t="e">
        <f>INDEX(V2:AC13,MATCH(W18,Y2:Y13,0),2)</f>
        <v>#N/A</v>
      </c>
      <c r="AB19" t="e">
        <f>AND($AC$18=$AC$19:$AC$23)</f>
        <v>#N/A</v>
      </c>
      <c r="AC19" s="4" t="e">
        <f>INDEX($AD$2:$AL$13,MATCH($AD$18,AD2:AD13,0),6)</f>
        <v>#N/A</v>
      </c>
      <c r="AD19" s="4" t="e">
        <f>INDEX($AD$2:$AL$13,MATCH($AD$18,AD2:AD13,0),7)</f>
        <v>#N/A</v>
      </c>
      <c r="AE19" s="4" t="e">
        <f>INDEX($AD$2:$AL$13,MATCH($AD$18,AD2:AD13,0),8)</f>
        <v>#N/A</v>
      </c>
      <c r="AF19" s="4"/>
    </row>
    <row r="20" spans="21:32" x14ac:dyDescent="0.25">
      <c r="U20" t="b">
        <f t="shared" si="0"/>
        <v>1</v>
      </c>
      <c r="V20" s="4" t="str">
        <f>INDEX($V$2:$AC$13,MATCH($W$18,Z2:Z13,0),3)</f>
        <v>Sun</v>
      </c>
      <c r="W20" s="4" t="str">
        <f>INDEX($V$2:$AC$13,MATCH($W$18,Z2:Z13,0),1)</f>
        <v>Day14</v>
      </c>
      <c r="X20" s="4" t="str">
        <f>INDEX($V$2:$AC$13,MATCH($W$18,Z2:Z13,0),2)</f>
        <v>Week 3</v>
      </c>
      <c r="AB20" t="b">
        <f>AND($AC$18=$AC$19:$AC$28)</f>
        <v>1</v>
      </c>
      <c r="AC20" s="4" t="str">
        <f>INDEX($AD$2:$AL$13,MATCH($AD$18,AE2:AE13,0),6)</f>
        <v>Sun</v>
      </c>
      <c r="AD20" s="4" t="str">
        <f>INDEX($AD$2:$AL$13,MATCH($AD$18,AE2:AE13,0),7)</f>
        <v>Day4</v>
      </c>
      <c r="AE20" s="4" t="str">
        <f>INDEX($AD$2:$AL$13,MATCH($AD$18,AE2:AE13,0),8)</f>
        <v>Week 1</v>
      </c>
      <c r="AF20" s="4"/>
    </row>
    <row r="21" spans="21:32" x14ac:dyDescent="0.25">
      <c r="U21" t="e">
        <f t="shared" si="0"/>
        <v>#N/A</v>
      </c>
      <c r="V21" s="4" t="e">
        <f>INDEX($V$2:$AC$13,MATCH($W$18,AA2:AA13,0),3)</f>
        <v>#N/A</v>
      </c>
      <c r="W21" s="4" t="e">
        <f>INDEX($V$2:$AC$13,MATCH($W$18,AA2:AA13,0),1)</f>
        <v>#N/A</v>
      </c>
      <c r="X21" s="4" t="e">
        <f>INDEX($V$2:$AC$13,MATCH($W$18,AA2:AA13,0),2)</f>
        <v>#N/A</v>
      </c>
      <c r="AB21" t="e">
        <f t="shared" ref="AB21:AB23" si="1">AND($AC$18=$AC$19:$AC$28)</f>
        <v>#N/A</v>
      </c>
      <c r="AC21" s="4" t="e">
        <f>INDEX($AD$2:$AL$13,MATCH($AD$18,AF2:AF13,0),6)</f>
        <v>#N/A</v>
      </c>
      <c r="AD21" s="4" t="e">
        <f>INDEX($AD$2:$AL$13,MATCH($AD$18,AF2:AF13,0),7)</f>
        <v>#N/A</v>
      </c>
      <c r="AE21" s="4" t="e">
        <f>INDEX($AD$2:$AL$13,MATCH($AD$18,AF2:AF13,0),8)</f>
        <v>#N/A</v>
      </c>
      <c r="AF21" s="4"/>
    </row>
    <row r="22" spans="21:32" x14ac:dyDescent="0.25">
      <c r="U22" t="e">
        <f t="shared" si="0"/>
        <v>#N/A</v>
      </c>
      <c r="V22" s="4" t="e">
        <f>INDEX($V$2:$AC$13,MATCH($W$18,AB2:AB13,0),3)</f>
        <v>#N/A</v>
      </c>
      <c r="W22" s="4" t="e">
        <f>INDEX($V$2:$AC$13,MATCH($W$18,AB2:AB13,0),1)</f>
        <v>#N/A</v>
      </c>
      <c r="X22" s="4" t="e">
        <f>INDEX($V$2:$AC$13,MATCH($W$18,AB2:AB13,0),2)</f>
        <v>#N/A</v>
      </c>
      <c r="AB22" t="e">
        <f t="shared" si="1"/>
        <v>#N/A</v>
      </c>
      <c r="AC22" s="4" t="e">
        <f>INDEX($AD$2:$AL$13,MATCH($AD$18,AG2:AG13,0),6)</f>
        <v>#N/A</v>
      </c>
      <c r="AD22" s="4" t="e">
        <f>INDEX($AD$2:$AL$13,MATCH($AD$18,AG2:AG13,0),7)</f>
        <v>#N/A</v>
      </c>
      <c r="AE22" s="4" t="e">
        <f>INDEX($AD$2:$AL$13,MATCH($AD$18,AG2:AG13,0),8)</f>
        <v>#N/A</v>
      </c>
      <c r="AF22" s="4"/>
    </row>
    <row r="23" spans="21:32" x14ac:dyDescent="0.25">
      <c r="U23" t="e">
        <f t="shared" si="0"/>
        <v>#N/A</v>
      </c>
      <c r="V23" s="4" t="e">
        <f>INDEX($V$2:$AC$13,MATCH($W$18,AC2:AC13,0),3)</f>
        <v>#N/A</v>
      </c>
      <c r="W23" s="4" t="e">
        <f>INDEX($V$2:$AC$13,MATCH($W$18,AC2:AC13,0),1)</f>
        <v>#N/A</v>
      </c>
      <c r="X23" s="4" t="e">
        <f>INDEX($V$2:$AC$13,MATCH($W$18,AC2:AC13,0),2)</f>
        <v>#N/A</v>
      </c>
      <c r="AB23" t="e">
        <f t="shared" si="1"/>
        <v>#N/A</v>
      </c>
      <c r="AC23" s="4" t="e">
        <f>INDEX($AD$2:$AL$13,MATCH($AD$18,AH2:AH13,0),6)</f>
        <v>#N/A</v>
      </c>
      <c r="AD23" s="4" t="e">
        <f>INDEX($AD$2:$AL$13,MATCH($AD$18,AH2:AH13,0),7)</f>
        <v>#N/A</v>
      </c>
      <c r="AE23" s="4" t="e">
        <f>INDEX($AD$2:$AL$13,MATCH($AD$18,AH2:AH13,0),8)</f>
        <v>#N/A</v>
      </c>
      <c r="AF23" s="4"/>
    </row>
    <row r="24" spans="21:32" x14ac:dyDescent="0.25">
      <c r="V24" s="4" t="str">
        <f>INDEX($V$19:$X$23,MATCH(TRUE,U19:U23,0),1)</f>
        <v>Sun</v>
      </c>
      <c r="W24" s="4" t="str">
        <f>INDEX($V$19:$X$23,MATCH(TRUE,U19:U23,0),2)</f>
        <v>Day14</v>
      </c>
      <c r="X24" s="4" t="str">
        <f>INDEX($V$19:$X$23,MATCH(TRUE,U19:U23,0),3)</f>
        <v>Week 3</v>
      </c>
      <c r="AC24" s="4" t="str">
        <f>INDEX($AC$19:$AF$23,MATCH(TRUE,AB19:AB23,0),1)</f>
        <v>Sun</v>
      </c>
      <c r="AD24" s="4" t="str">
        <f>INDEX($AC$19:$AF$23,MATCH(TRUE,AB19:AB23,0),2)</f>
        <v>Day4</v>
      </c>
      <c r="AE24" s="4" t="str">
        <f>INDEX($AC$19:$AF$23,MATCH(TRUE,AB19:AB23,0),3)</f>
        <v>Week 1</v>
      </c>
      <c r="AF24" s="4"/>
    </row>
  </sheetData>
  <mergeCells count="2">
    <mergeCell ref="U16:X16"/>
    <mergeCell ref="AB16:AF16"/>
  </mergeCells>
  <conditionalFormatting sqref="V2:V13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4:Y6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9:Y12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8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3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6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2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7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9:Z12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2:AC3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5:AA8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4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4:AC5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6:AB9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7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8:AC10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0:AA13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1:AB13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2:AC13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2:AC13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4:AD6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3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9:AD12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8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3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4:AE6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2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7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9:AE12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2:AH3 AH4:AH5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5:AF8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4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4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6:AG9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7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8:AH10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0:AF1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1:AG13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2:AH1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2:AH1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2:AJ1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7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headerFooter>
    <oddFooter>&amp;L&amp;1#&amp;"Calibri"&amp;6&amp;K737373BUSINESS DOCUMENT  This document is intended for business use and should be distributed to intended recipients only.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Creatr</vt:lpstr>
      <vt:lpstr>Open Workbook</vt:lpstr>
      <vt:lpstr>Abinitio Creatr</vt:lpstr>
      <vt:lpstr>c_Date</vt:lpstr>
      <vt:lpstr>FTT</vt:lpstr>
    </vt:vector>
  </TitlesOfParts>
  <Company>Emirates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Castelino</dc:creator>
  <cp:lastModifiedBy>Marvin Castelino</cp:lastModifiedBy>
  <dcterms:created xsi:type="dcterms:W3CDTF">2018-11-20T13:22:53Z</dcterms:created>
  <dcterms:modified xsi:type="dcterms:W3CDTF">2020-01-19T08:18:21Z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7962db2-8021-4672-ab50-833f15a1c47a_Enabled">
    <vt:lpwstr>True</vt:lpwstr>
  </property>
  <property fmtid="{D5CDD505-2E9C-101B-9397-08002B2CF9AE}" pid="3" name="MSIP_Label_c7962db2-8021-4672-ab50-833f15a1c47a_SiteId">
    <vt:lpwstr>e0b26355-1889-40d8-8ef1-e559616befda</vt:lpwstr>
  </property>
  <property fmtid="{D5CDD505-2E9C-101B-9397-08002B2CF9AE}" pid="4" name="MSIP_Label_c7962db2-8021-4672-ab50-833f15a1c47a_Owner">
    <vt:lpwstr>marvin.castelino@emirates.com</vt:lpwstr>
  </property>
  <property fmtid="{D5CDD505-2E9C-101B-9397-08002B2CF9AE}" pid="5" name="MSIP_Label_c7962db2-8021-4672-ab50-833f15a1c47a_SetDate">
    <vt:lpwstr>2020-01-16T07:00:06.8310179Z</vt:lpwstr>
  </property>
  <property fmtid="{D5CDD505-2E9C-101B-9397-08002B2CF9AE}" pid="6" name="MSIP_Label_c7962db2-8021-4672-ab50-833f15a1c47a_Name">
    <vt:lpwstr>Business</vt:lpwstr>
  </property>
  <property fmtid="{D5CDD505-2E9C-101B-9397-08002B2CF9AE}" pid="7" name="MSIP_Label_c7962db2-8021-4672-ab50-833f15a1c47a_Application">
    <vt:lpwstr>Microsoft Azure Information Protection</vt:lpwstr>
  </property>
  <property fmtid="{D5CDD505-2E9C-101B-9397-08002B2CF9AE}" pid="8" name="MSIP_Label_c7962db2-8021-4672-ab50-833f15a1c47a_ActionId">
    <vt:lpwstr>85152681-58ac-4cdd-bd76-6e0af7e1f158</vt:lpwstr>
  </property>
  <property fmtid="{D5CDD505-2E9C-101B-9397-08002B2CF9AE}" pid="9" name="MSIP_Label_c7962db2-8021-4672-ab50-833f15a1c47a_Extended_MSFT_Method">
    <vt:lpwstr>Automatic</vt:lpwstr>
  </property>
  <property fmtid="{D5CDD505-2E9C-101B-9397-08002B2CF9AE}" pid="10" name="Sensitivity">
    <vt:lpwstr>Business</vt:lpwstr>
  </property>
</Properties>
</file>